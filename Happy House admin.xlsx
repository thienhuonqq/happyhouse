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ền Nước" sheetId="1" r:id="rId5"/>
    <sheet state="hidden" name="Tiền điện Tháng 4" sheetId="2" r:id="rId6"/>
    <sheet state="hidden" name="Tiền điện Tháng 5" sheetId="3" r:id="rId7"/>
    <sheet state="hidden" name="Tiền điện Tháng 6" sheetId="4" r:id="rId8"/>
    <sheet state="hidden" name="Tiền điện Tháng 7" sheetId="5" r:id="rId9"/>
    <sheet state="hidden" name="Tiền điện Tháng 8" sheetId="6" r:id="rId10"/>
    <sheet state="visible" name="Tiền điện Tháng 9" sheetId="7" r:id="rId11"/>
    <sheet state="visible" name="Tiền điện Tháng 10" sheetId="8" r:id="rId12"/>
    <sheet state="visible" name="Tiền điện Tháng 11" sheetId="9" r:id="rId13"/>
    <sheet state="visible" name="Tiền điện Tháng 12" sheetId="10" r:id="rId14"/>
    <sheet state="visible" name="Tiền điện Tháng 012026" sheetId="11" r:id="rId15"/>
    <sheet state="visible" name="Tiền điện Tháng 022026" sheetId="12" r:id="rId16"/>
    <sheet state="visible" name="Tiền điện Tháng 032026" sheetId="13" r:id="rId17"/>
    <sheet state="hidden" name="Data Analysis" sheetId="14" r:id="rId18"/>
  </sheets>
  <definedNames/>
  <calcPr/>
</workbook>
</file>

<file path=xl/sharedStrings.xml><?xml version="1.0" encoding="utf-8"?>
<sst xmlns="http://schemas.openxmlformats.org/spreadsheetml/2006/main" count="457" uniqueCount="109">
  <si>
    <t>Member</t>
  </si>
  <si>
    <t>Tiền Nước Tháng 5</t>
  </si>
  <si>
    <t>Đã trả tháng 5</t>
  </si>
  <si>
    <t>Tiền Nước Tháng 6</t>
  </si>
  <si>
    <t>Đã trả tháng 6</t>
  </si>
  <si>
    <t>Tiền Rác cả năm</t>
  </si>
  <si>
    <t>Đã trả</t>
  </si>
  <si>
    <t>Tiền Nước Tháng 7</t>
  </si>
  <si>
    <t>Đã trả tháng 7</t>
  </si>
  <si>
    <t>Tiền Nước Tháng 8</t>
  </si>
  <si>
    <t>Đã trả tháng 8</t>
  </si>
  <si>
    <t>Tiền Nước Tháng 9</t>
  </si>
  <si>
    <t>Đã trả tháng 9</t>
  </si>
  <si>
    <t>Tiền Nước Tháng 10</t>
  </si>
  <si>
    <t>Đã trả tháng 10</t>
  </si>
  <si>
    <t>Tiền Nước Tháng 11</t>
  </si>
  <si>
    <t>Đã trả tháng 11</t>
  </si>
  <si>
    <t>Tiền Nước Tháng 12</t>
  </si>
  <si>
    <t>Đã trả tháng 12</t>
  </si>
  <si>
    <t>Tiền nước tháng 1/2026</t>
  </si>
  <si>
    <t>Đã trả tháng 1/2026</t>
  </si>
  <si>
    <t>Tiền nước tháng 2/2026</t>
  </si>
  <si>
    <t>Đã trả tháng 2/2026</t>
  </si>
  <si>
    <t>Nhi</t>
  </si>
  <si>
    <t>YES</t>
  </si>
  <si>
    <t>NO</t>
  </si>
  <si>
    <t>Quỳnh</t>
  </si>
  <si>
    <t>Trang</t>
  </si>
  <si>
    <t>Vy</t>
  </si>
  <si>
    <t xml:space="preserve">Thuận Ý </t>
  </si>
  <si>
    <t>Khuê</t>
  </si>
  <si>
    <t>Tuyền</t>
  </si>
  <si>
    <t>Trân</t>
  </si>
  <si>
    <t>Total</t>
  </si>
  <si>
    <t>Tổng quan hóa đơn điện</t>
  </si>
  <si>
    <t>Tổng số điện sử dụng (kWh)</t>
  </si>
  <si>
    <t>kWh</t>
  </si>
  <si>
    <t>Tổng số tiền phải trả</t>
  </si>
  <si>
    <t>VND</t>
  </si>
  <si>
    <t>Giá mỗi kWh (A)</t>
  </si>
  <si>
    <t>Chi tiết theo từng phòng</t>
  </si>
  <si>
    <t>Phòng</t>
  </si>
  <si>
    <t>Tháng này (kWh)</t>
  </si>
  <si>
    <t>Tháng trước (kWh)</t>
  </si>
  <si>
    <t>Điện sử dụng (B)</t>
  </si>
  <si>
    <t>Tiền điện (A × B)</t>
  </si>
  <si>
    <r>
      <rPr>
        <rFont val="Arial"/>
        <b/>
        <color theme="1"/>
      </rPr>
      <t xml:space="preserve">Tổng tiền phải trả (đã cộng điện dùng chung) </t>
    </r>
    <r>
      <rPr>
        <rFont val="Arial"/>
        <b val="0"/>
        <i/>
        <color theme="1"/>
      </rPr>
      <t>+ C/10 x số nguời trong phòng</t>
    </r>
  </si>
  <si>
    <t>Amount per Person</t>
  </si>
  <si>
    <t>Nhi + Quỳnh + Hà</t>
  </si>
  <si>
    <t>Hương</t>
  </si>
  <si>
    <t>Trúc + Trang</t>
  </si>
  <si>
    <t>Thuận Ý + Thoại Nhiên</t>
  </si>
  <si>
    <t>Khuê + Tuyền</t>
  </si>
  <si>
    <t>Điện dùng chung - Bếp + Máy giặc (C)</t>
  </si>
  <si>
    <t>-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</si>
  <si>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</si>
  <si>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>Tiền mỗi người (trong tổng số điện dùng chung) (D = C/9) Chia cho 9 vì phòng Khuê + Tuyền được tính là 1 người thay vì 2 do ít sử dụng bếp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</si>
  <si>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</si>
  <si>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</si>
  <si>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 xml:space="preserve">Tiền mỗi người (trong tổng số điện dùng chung) (D = C/11) 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</si>
  <si>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</si>
  <si>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 xml:space="preserve">Tiền mỗi người (trong tổng số điện dùng chung) (D = C/8.5) </t>
  </si>
  <si>
    <t>*note: 3 (Nhi+Q+H) + 1 (Hương) + 1 (Trang)+ 2 (Ý+Nhiên) + 1 (Khuê +Tuyền) + 0.5 (Trân)  = 8.5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</si>
  <si>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</si>
  <si>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>Nhi + Quỳnh</t>
  </si>
  <si>
    <t>Trang + Vy</t>
  </si>
  <si>
    <t>*note: 2(Nhi+Q) + 1 (Hương) + 2 (Trang + Vy)+ 2 (Ý+Nhiên) + 1 (Khuê +Tuyền) + 0.5 (Trân)  = 8.5</t>
  </si>
  <si>
    <t>Tiền điện trong phòng Nhiên + Ý</t>
  </si>
  <si>
    <t>Ttiền điện trong phòng My + Ý</t>
  </si>
  <si>
    <t>Tiền điện dùng chung cho 2 ngừoi trong phòng chia làm 4 phần - Ý trả 2 phần, Nhiên, My trả mỗi ng 1 phần</t>
  </si>
  <si>
    <t>Tổng tiền điện Ý trả</t>
  </si>
  <si>
    <t>Tổng tiền điện Nhiên trả</t>
  </si>
  <si>
    <t>Tổng tiền điện My trả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</si>
  <si>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</si>
  <si>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>cost per weight unit</t>
  </si>
  <si>
    <t xml:space="preserve">Vy trả 0.75 = </t>
  </si>
  <si>
    <t>Trang trả 1=</t>
  </si>
  <si>
    <t>Thuận Ý + My</t>
  </si>
  <si>
    <t xml:space="preserve">My trả 0.75 = </t>
  </si>
  <si>
    <t>Ý trả 1=</t>
  </si>
  <si>
    <t>Điện dùng chung - Bếp + Máy giặt (C)</t>
  </si>
  <si>
    <t xml:space="preserve">Tiền mỗi người (trong tổng số điện dùng chung) (D = C/8) </t>
  </si>
  <si>
    <t>*note: 2(Nhi+Q) + 1 (Hương) + 1.75 (Trang + Vy)+ 1.75 (Ý+My) + 1 (Khuê +Tuyền) + 0.5 (Trân)  = 8  
*My giặc đồ ở ngoài, Khuê Tuyền Trân Vy ko/ít dùng bếp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</si>
  <si>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</si>
  <si>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 xml:space="preserve">Quỳnh trả 0.75 = </t>
  </si>
  <si>
    <t>Nhi trả 1=</t>
  </si>
  <si>
    <t xml:space="preserve">Tiền mỗi người (trong tổng số điện dùng chung) (D = C/8.25) </t>
  </si>
  <si>
    <t>*note: 1.75(Nhi+Q) + 1 (Hương) + 2 (Trang + Vy)+ 1.75 (Ý+My) + 1.25 (Khuê +Tuyền) + 0.5 (Trân)  = 8.25  
*My giặc đồ ở ngoài, Khuê Tuyền Trân ko/ít dùng bếp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</si>
  <si>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</si>
  <si>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>Nhi + Quỳnh + Thuận Ý</t>
  </si>
  <si>
    <t>My</t>
  </si>
  <si>
    <t xml:space="preserve">*note: 3(Nhi+Q+Y) + 1(Hương) + 2 (Trang + Vy)+ 0.5 (My) + 1.25 (Khuê +Tuyền) + 0.5 (Trân)  = 8.25
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</si>
  <si>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</si>
  <si>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>Ý</t>
  </si>
  <si>
    <t xml:space="preserve">*note: 2.5 ( 1 Nhi+ 1 Q + 0.5 Y) + 1(Hương) + 1.5 (1 Trang + 0.5 Vy)+ 0.5 (My) + 1 (Khuê +Tuyền) + 0.5 (Trân)  = 7
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</si>
  <si>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</si>
  <si>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 xml:space="preserve"> Thuận Ý</t>
  </si>
  <si>
    <t xml:space="preserve">Tiền mỗi người (trong tổng số điện dùng chung) (D = C/7) </t>
  </si>
  <si>
    <t xml:space="preserve">*note: 2 ( 1 Nhi+ 1 Q) + 1(Hương) + 2 (1 Trang + 1 Vy)+ 0.5 (Y) + 1 (Khuê +Tuyền) + 0.5 (Trân)  = 7
</t>
  </si>
  <si>
    <r>
      <rPr>
        <rFont val="Arial"/>
        <b/>
        <color theme="1"/>
      </rPr>
      <t xml:space="preserve">Tổng tiền phải trả (đã cộng điện dùng chung) + </t>
    </r>
    <r>
      <rPr>
        <rFont val="Arial"/>
        <b val="0"/>
        <color theme="1"/>
      </rPr>
      <t>D x (số nguời trong phòng)</t>
    </r>
  </si>
  <si>
    <t xml:space="preserve"> Thuận Ý + Chau</t>
  </si>
  <si>
    <t xml:space="preserve">Tiền mỗi người (trong tổng số điện dùng chung) (D = C/7.25) </t>
  </si>
  <si>
    <t xml:space="preserve">*note: 2 ( 1 Nhi+ 1 Q)  + 1. 75(1 Trang + 0.75 Vy)+ 2 (Y + Chau) + 1(Khuê +Tuyền) + 0.5 (Trân)  = 7.25
</t>
  </si>
  <si>
    <t>Điện sử dụng Tháng 4</t>
  </si>
  <si>
    <t>Điện sử dụng Tháng 5</t>
  </si>
  <si>
    <t>Điện sử dụng Tháng 6</t>
  </si>
  <si>
    <t>Tổng Tiền tháng 4</t>
  </si>
  <si>
    <t>Tổng Tiền tháng 5</t>
  </si>
  <si>
    <t>Tổng Tiền tháng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</si>
</sst>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i/>
      <color rgb="FF999999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3" fontId="2" numFmtId="3" xfId="0" applyAlignment="1" applyBorder="1" applyFill="1" applyFont="1" applyNumberFormat="1">
      <alignment vertical="bottom"/>
    </xf>
    <xf borderId="1" fillId="3" fontId="2" numFmtId="0" xfId="0" applyAlignment="1" applyBorder="1" applyFont="1">
      <alignment vertical="bottom"/>
    </xf>
    <xf borderId="2" fillId="0" fontId="2" numFmtId="3" xfId="0" applyAlignment="1" applyBorder="1" applyFont="1" applyNumberFormat="1">
      <alignment readingOrder="0" vertical="bottom"/>
    </xf>
    <xf borderId="3" fillId="0" fontId="2" numFmtId="3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readingOrder="0" vertical="bottom"/>
    </xf>
    <xf borderId="1" fillId="0" fontId="2" numFmtId="3" xfId="0" applyAlignment="1" applyBorder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3" xfId="0" applyAlignment="1" applyBorder="1" applyFont="1" applyNumberFormat="1">
      <alignment readingOrder="0" vertical="bottom"/>
    </xf>
    <xf borderId="1" fillId="0" fontId="3" numFmtId="0" xfId="0" applyBorder="1" applyFont="1"/>
    <xf borderId="0" fillId="0" fontId="3" numFmtId="3" xfId="0" applyFont="1" applyNumberFormat="1"/>
    <xf borderId="0" fillId="0" fontId="4" numFmtId="0" xfId="0" applyFont="1"/>
    <xf borderId="0" fillId="0" fontId="3" numFmtId="4" xfId="0" applyFont="1" applyNumberForma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3" xfId="0" applyAlignment="1" applyBorder="1" applyFont="1" applyNumberFormat="1">
      <alignment readingOrder="0"/>
    </xf>
    <xf borderId="1" fillId="0" fontId="3" numFmtId="3" xfId="0" applyBorder="1" applyFont="1" applyNumberFormat="1"/>
    <xf borderId="1" fillId="0" fontId="4" numFmtId="0" xfId="0" applyAlignment="1" applyBorder="1" applyFont="1">
      <alignment readingOrder="0"/>
    </xf>
    <xf borderId="1" fillId="0" fontId="3" numFmtId="4" xfId="0" applyBorder="1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3" fillId="0" fontId="6" numFmtId="0" xfId="0" applyBorder="1" applyFont="1"/>
    <xf borderId="4" fillId="0" fontId="6" numFmtId="0" xfId="0" applyBorder="1" applyFont="1"/>
    <xf borderId="0" fillId="0" fontId="3" numFmtId="3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1" fillId="4" fontId="3" numFmtId="0" xfId="0" applyAlignment="1" applyBorder="1" applyFill="1" applyFont="1">
      <alignment readingOrder="0"/>
    </xf>
    <xf borderId="1" fillId="4" fontId="3" numFmtId="3" xfId="0" applyBorder="1" applyFont="1" applyNumberFormat="1"/>
    <xf borderId="1" fillId="4" fontId="3" numFmtId="0" xfId="0" applyAlignment="1" applyBorder="1" applyFont="1">
      <alignment readingOrder="0" shrinkToFit="0" wrapText="1"/>
    </xf>
    <xf borderId="1" fillId="3" fontId="3" numFmtId="0" xfId="0" applyAlignment="1" applyBorder="1" applyFont="1">
      <alignment readingOrder="0"/>
    </xf>
    <xf borderId="1" fillId="3" fontId="3" numFmtId="3" xfId="0" applyBorder="1" applyFont="1" applyNumberFormat="1"/>
    <xf borderId="1" fillId="5" fontId="3" numFmtId="0" xfId="0" applyAlignment="1" applyBorder="1" applyFill="1" applyFont="1">
      <alignment readingOrder="0"/>
    </xf>
    <xf borderId="1" fillId="5" fontId="3" numFmtId="3" xfId="0" applyAlignment="1" applyBorder="1" applyFont="1" applyNumberFormat="1">
      <alignment horizontal="right"/>
    </xf>
    <xf borderId="1" fillId="3" fontId="3" numFmtId="0" xfId="0" applyAlignment="1" applyBorder="1" applyFont="1">
      <alignment horizontal="right" readingOrder="0"/>
    </xf>
    <xf borderId="1" fillId="3" fontId="3" numFmtId="3" xfId="0" applyAlignment="1" applyBorder="1" applyFont="1" applyNumberFormat="1">
      <alignment horizontal="right"/>
    </xf>
    <xf borderId="1" fillId="4" fontId="3" numFmtId="0" xfId="0" applyAlignment="1" applyBorder="1" applyFont="1">
      <alignment horizontal="right" readingOrder="0"/>
    </xf>
    <xf borderId="1" fillId="4" fontId="3" numFmtId="3" xfId="0" applyAlignment="1" applyBorder="1" applyFont="1" applyNumberFormat="1">
      <alignment horizontal="right"/>
    </xf>
    <xf borderId="1" fillId="0" fontId="3" numFmtId="0" xfId="0" applyAlignment="1" applyBorder="1" applyFont="1">
      <alignment horizontal="center" readingOrder="0" shrinkToFit="0" wrapText="1"/>
    </xf>
    <xf borderId="0" fillId="0" fontId="3" numFmtId="0" xfId="0" applyFont="1"/>
    <xf borderId="1" fillId="6" fontId="3" numFmtId="3" xfId="0" applyAlignment="1" applyBorder="1" applyFill="1" applyFont="1" applyNumberFormat="1">
      <alignment horizontal="center"/>
    </xf>
    <xf borderId="1" fillId="3" fontId="3" numFmtId="0" xfId="0" applyAlignment="1" applyBorder="1" applyFont="1">
      <alignment horizontal="center" readingOrder="0"/>
    </xf>
    <xf borderId="1" fillId="3" fontId="3" numFmtId="3" xfId="0" applyAlignment="1" applyBorder="1" applyFont="1" applyNumberFormat="1">
      <alignment horizontal="center"/>
    </xf>
    <xf borderId="1" fillId="7" fontId="3" numFmtId="0" xfId="0" applyAlignment="1" applyBorder="1" applyFill="1" applyFont="1">
      <alignment horizontal="center" readingOrder="0"/>
    </xf>
    <xf borderId="1" fillId="7" fontId="3" numFmtId="3" xfId="0" applyAlignment="1" applyBorder="1" applyFont="1" applyNumberFormat="1">
      <alignment horizontal="center"/>
    </xf>
    <xf borderId="1" fillId="8" fontId="3" numFmtId="0" xfId="0" applyAlignment="1" applyBorder="1" applyFill="1" applyFont="1">
      <alignment horizontal="center" readingOrder="0"/>
    </xf>
    <xf borderId="1" fillId="8" fontId="3" numFmtId="3" xfId="0" applyAlignment="1" applyBorder="1" applyFont="1" applyNumberFormat="1">
      <alignment horizontal="center"/>
    </xf>
    <xf borderId="1" fillId="9" fontId="4" numFmtId="0" xfId="0" applyAlignment="1" applyBorder="1" applyFill="1" applyFont="1">
      <alignment readingOrder="0" shrinkToFit="0" wrapText="1"/>
    </xf>
    <xf borderId="1" fillId="9" fontId="3" numFmtId="3" xfId="0" applyBorder="1" applyFont="1" applyNumberFormat="1"/>
    <xf borderId="0" fillId="10" fontId="3" numFmtId="0" xfId="0" applyAlignment="1" applyFill="1" applyFont="1">
      <alignment readingOrder="0"/>
    </xf>
    <xf borderId="0" fillId="10" fontId="3" numFmtId="3" xfId="0" applyFont="1" applyNumberFormat="1"/>
    <xf borderId="0" fillId="7" fontId="3" numFmtId="0" xfId="0" applyAlignment="1" applyFont="1">
      <alignment readingOrder="0"/>
    </xf>
    <xf borderId="0" fillId="7" fontId="3" numFmtId="3" xfId="0" applyFont="1" applyNumberFormat="1"/>
    <xf borderId="1" fillId="0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Tổng Tiền tháng 4, Tổng Tiền tháng 5 and Tổng Tiền tháng 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'Data Analysis'!$E$1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'Data Analysis'!$A$2:$A$6</c:f>
            </c:strRef>
          </c:cat>
          <c:val>
            <c:numRef>
              <c:f>'Data Analysis'!$E$2:$E$6</c:f>
              <c:numCache/>
            </c:numRef>
          </c:val>
        </c:ser>
        <c:ser>
          <c:idx val="1"/>
          <c:order val="1"/>
          <c:tx>
            <c:strRef>
              <c:f>'Data Analysis'!$F$1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'Data Analysis'!$A$2:$A$6</c:f>
            </c:strRef>
          </c:cat>
          <c:val>
            <c:numRef>
              <c:f>'Data Analysis'!$F$2:$F$6</c:f>
              <c:numCache/>
            </c:numRef>
          </c:val>
        </c:ser>
        <c:ser>
          <c:idx val="2"/>
          <c:order val="2"/>
          <c:tx>
            <c:strRef>
              <c:f>'Data Analysis'!$G$1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'Data Analysis'!$A$2:$A$6</c:f>
            </c:strRef>
          </c:cat>
          <c:val>
            <c:numRef>
              <c:f>'Data Analysis'!$G$2:$G$6</c:f>
              <c:numCache/>
            </c:numRef>
          </c:val>
        </c:ser>
        <c:axId val="1458180839"/>
        <c:axId val="2146418051"/>
      </c:barChart>
      <c:catAx>
        <c:axId val="1458180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Phòng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418051"/>
      </c:catAx>
      <c:valAx>
        <c:axId val="2146418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1808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828675</xdr:colOff>
      <xdr:row>10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hidden="1" min="2" max="2" width="16.38"/>
    <col hidden="1" min="3" max="3" width="12.63"/>
    <col customWidth="1" hidden="1" min="4" max="4" width="16.25"/>
    <col customWidth="1" hidden="1" min="5" max="5" width="12.13"/>
    <col customWidth="1" hidden="1" min="6" max="6" width="14.13"/>
    <col customWidth="1" hidden="1" min="7" max="7" width="5.75"/>
    <col customWidth="1" hidden="1" min="8" max="8" width="16.25"/>
    <col customWidth="1" hidden="1" min="9" max="9" width="12.13"/>
    <col customWidth="1" hidden="1" min="10" max="10" width="16.25"/>
    <col customWidth="1" hidden="1" min="11" max="11" width="12.13"/>
    <col customWidth="1" hidden="1" min="12" max="12" width="16.25"/>
    <col hidden="1" min="13" max="13" width="12.63"/>
    <col customWidth="1" hidden="1" min="14" max="14" width="17.13"/>
    <col hidden="1" min="15" max="15" width="12.63"/>
    <col customWidth="1" hidden="1" min="16" max="16" width="17.13"/>
    <col hidden="1" min="17" max="17" width="12.63"/>
    <col customWidth="1" min="18" max="18" width="17.13"/>
    <col customWidth="1" min="20" max="20" width="20.38"/>
    <col customWidth="1" min="21" max="21" width="16.25"/>
    <col customWidth="1" min="22" max="22" width="19.75"/>
    <col customWidth="1" min="23" max="23" width="1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  <c r="Y1" s="3"/>
    </row>
    <row r="2">
      <c r="A2" s="4" t="s">
        <v>23</v>
      </c>
      <c r="B2" s="5"/>
      <c r="C2" s="6"/>
      <c r="D2" s="7">
        <v>94500.0</v>
      </c>
      <c r="E2" s="8"/>
      <c r="F2" s="8"/>
      <c r="G2" s="8"/>
      <c r="H2" s="8"/>
      <c r="I2" s="8"/>
      <c r="J2" s="9">
        <v>94500.0</v>
      </c>
      <c r="K2" s="10" t="s">
        <v>24</v>
      </c>
      <c r="L2" s="9">
        <f t="shared" ref="L2:L9" si="1">$L$10/10</f>
        <v>103283.6</v>
      </c>
      <c r="M2" s="10" t="s">
        <v>24</v>
      </c>
      <c r="N2" s="9">
        <f t="shared" ref="N2:N9" si="2">$N$10/10</f>
        <v>79870.6</v>
      </c>
      <c r="O2" s="10" t="s">
        <v>24</v>
      </c>
      <c r="P2" s="9">
        <f t="shared" ref="P2:P9" si="3">$P$10/10</f>
        <v>88650.5</v>
      </c>
      <c r="Q2" s="10" t="s">
        <v>24</v>
      </c>
      <c r="R2" s="9">
        <f t="shared" ref="R2:R9" si="4">$R$10/10</f>
        <v>111211.6</v>
      </c>
      <c r="S2" s="10" t="s">
        <v>24</v>
      </c>
      <c r="T2" s="9">
        <f t="shared" ref="T2:T9" si="5">$T$10/10</f>
        <v>61459</v>
      </c>
      <c r="U2" s="10" t="s">
        <v>24</v>
      </c>
      <c r="V2" s="9">
        <v>100000.0</v>
      </c>
      <c r="W2" s="10" t="s">
        <v>25</v>
      </c>
      <c r="X2" s="11"/>
      <c r="Y2" s="11"/>
    </row>
    <row r="3">
      <c r="A3" s="4" t="s">
        <v>26</v>
      </c>
      <c r="B3" s="9">
        <v>71000.0</v>
      </c>
      <c r="C3" s="12" t="b">
        <v>1</v>
      </c>
      <c r="D3" s="9">
        <v>83000.0</v>
      </c>
      <c r="E3" s="10" t="s">
        <v>24</v>
      </c>
      <c r="F3" s="9">
        <v>100000.0</v>
      </c>
      <c r="G3" s="10" t="s">
        <v>24</v>
      </c>
      <c r="H3" s="9">
        <v>76000.0</v>
      </c>
      <c r="I3" s="10" t="s">
        <v>24</v>
      </c>
      <c r="J3" s="9">
        <v>94500.0</v>
      </c>
      <c r="K3" s="10" t="s">
        <v>24</v>
      </c>
      <c r="L3" s="9">
        <f t="shared" si="1"/>
        <v>103283.6</v>
      </c>
      <c r="M3" s="10" t="s">
        <v>24</v>
      </c>
      <c r="N3" s="9">
        <f t="shared" si="2"/>
        <v>79870.6</v>
      </c>
      <c r="O3" s="10" t="s">
        <v>24</v>
      </c>
      <c r="P3" s="9">
        <f t="shared" si="3"/>
        <v>88650.5</v>
      </c>
      <c r="Q3" s="10" t="s">
        <v>24</v>
      </c>
      <c r="R3" s="9">
        <f t="shared" si="4"/>
        <v>111211.6</v>
      </c>
      <c r="S3" s="10" t="s">
        <v>24</v>
      </c>
      <c r="T3" s="9">
        <f t="shared" si="5"/>
        <v>61459</v>
      </c>
      <c r="U3" s="10" t="s">
        <v>24</v>
      </c>
      <c r="V3" s="9">
        <v>100000.0</v>
      </c>
      <c r="W3" s="10" t="s">
        <v>25</v>
      </c>
      <c r="X3" s="11"/>
      <c r="Y3" s="11"/>
    </row>
    <row r="4">
      <c r="A4" s="4" t="s">
        <v>27</v>
      </c>
      <c r="B4" s="9">
        <v>71000.0</v>
      </c>
      <c r="C4" s="12" t="b">
        <v>1</v>
      </c>
      <c r="D4" s="9">
        <v>83000.0</v>
      </c>
      <c r="E4" s="10" t="s">
        <v>24</v>
      </c>
      <c r="F4" s="9">
        <v>100000.0</v>
      </c>
      <c r="G4" s="10" t="s">
        <v>24</v>
      </c>
      <c r="H4" s="9">
        <v>76000.0</v>
      </c>
      <c r="I4" s="10" t="s">
        <v>24</v>
      </c>
      <c r="J4" s="9">
        <v>94500.0</v>
      </c>
      <c r="K4" s="10" t="s">
        <v>25</v>
      </c>
      <c r="L4" s="9">
        <f t="shared" si="1"/>
        <v>103283.6</v>
      </c>
      <c r="M4" s="10" t="s">
        <v>24</v>
      </c>
      <c r="N4" s="9">
        <f t="shared" si="2"/>
        <v>79870.6</v>
      </c>
      <c r="O4" s="10" t="s">
        <v>24</v>
      </c>
      <c r="P4" s="9">
        <f t="shared" si="3"/>
        <v>88650.5</v>
      </c>
      <c r="Q4" s="10" t="s">
        <v>24</v>
      </c>
      <c r="R4" s="9">
        <f t="shared" si="4"/>
        <v>111211.6</v>
      </c>
      <c r="S4" s="10" t="s">
        <v>24</v>
      </c>
      <c r="T4" s="9">
        <f t="shared" si="5"/>
        <v>61459</v>
      </c>
      <c r="U4" s="10" t="s">
        <v>24</v>
      </c>
      <c r="V4" s="9">
        <v>100000.0</v>
      </c>
      <c r="W4" s="10" t="s">
        <v>25</v>
      </c>
      <c r="X4" s="11"/>
      <c r="Y4" s="11"/>
    </row>
    <row r="5">
      <c r="A5" s="13" t="s">
        <v>28</v>
      </c>
      <c r="B5" s="5"/>
      <c r="C5" s="6"/>
      <c r="D5" s="5"/>
      <c r="E5" s="5"/>
      <c r="F5" s="5"/>
      <c r="G5" s="5"/>
      <c r="H5" s="5"/>
      <c r="I5" s="5"/>
      <c r="J5" s="5"/>
      <c r="K5" s="5"/>
      <c r="L5" s="9">
        <f t="shared" si="1"/>
        <v>103283.6</v>
      </c>
      <c r="M5" s="10" t="s">
        <v>24</v>
      </c>
      <c r="N5" s="9">
        <f t="shared" si="2"/>
        <v>79870.6</v>
      </c>
      <c r="O5" s="10" t="s">
        <v>24</v>
      </c>
      <c r="P5" s="9">
        <f t="shared" si="3"/>
        <v>88650.5</v>
      </c>
      <c r="Q5" s="10" t="s">
        <v>24</v>
      </c>
      <c r="R5" s="9">
        <f t="shared" si="4"/>
        <v>111211.6</v>
      </c>
      <c r="S5" s="10" t="s">
        <v>24</v>
      </c>
      <c r="T5" s="9">
        <f t="shared" si="5"/>
        <v>61459</v>
      </c>
      <c r="U5" s="10" t="s">
        <v>24</v>
      </c>
      <c r="V5" s="9">
        <v>100000.0</v>
      </c>
      <c r="W5" s="10" t="s">
        <v>25</v>
      </c>
      <c r="X5" s="11"/>
      <c r="Y5" s="11"/>
    </row>
    <row r="6">
      <c r="A6" s="13" t="s">
        <v>29</v>
      </c>
      <c r="B6" s="9">
        <v>71000.0</v>
      </c>
      <c r="C6" s="12" t="b">
        <v>1</v>
      </c>
      <c r="D6" s="9">
        <v>83000.0</v>
      </c>
      <c r="E6" s="10" t="s">
        <v>24</v>
      </c>
      <c r="F6" s="9">
        <v>100000.0</v>
      </c>
      <c r="G6" s="10" t="s">
        <v>24</v>
      </c>
      <c r="H6" s="9">
        <v>76000.0</v>
      </c>
      <c r="I6" s="10" t="s">
        <v>24</v>
      </c>
      <c r="J6" s="9">
        <v>94500.0</v>
      </c>
      <c r="K6" s="10" t="s">
        <v>24</v>
      </c>
      <c r="L6" s="9">
        <f t="shared" si="1"/>
        <v>103283.6</v>
      </c>
      <c r="M6" s="10" t="s">
        <v>24</v>
      </c>
      <c r="N6" s="9">
        <f t="shared" si="2"/>
        <v>79870.6</v>
      </c>
      <c r="O6" s="10" t="s">
        <v>24</v>
      </c>
      <c r="P6" s="9">
        <f t="shared" si="3"/>
        <v>88650.5</v>
      </c>
      <c r="Q6" s="10" t="s">
        <v>24</v>
      </c>
      <c r="R6" s="9">
        <f t="shared" si="4"/>
        <v>111211.6</v>
      </c>
      <c r="S6" s="10" t="s">
        <v>24</v>
      </c>
      <c r="T6" s="9">
        <f t="shared" si="5"/>
        <v>61459</v>
      </c>
      <c r="U6" s="10" t="s">
        <v>24</v>
      </c>
      <c r="V6" s="9">
        <v>100000.0</v>
      </c>
      <c r="W6" s="10" t="s">
        <v>25</v>
      </c>
      <c r="X6" s="11"/>
      <c r="Y6" s="11"/>
    </row>
    <row r="7">
      <c r="A7" s="4" t="s">
        <v>30</v>
      </c>
      <c r="B7" s="9">
        <v>71000.0</v>
      </c>
      <c r="C7" s="12" t="b">
        <v>1</v>
      </c>
      <c r="D7" s="9">
        <v>83000.0</v>
      </c>
      <c r="E7" s="10" t="s">
        <v>24</v>
      </c>
      <c r="F7" s="9">
        <v>100000.0</v>
      </c>
      <c r="G7" s="10" t="s">
        <v>24</v>
      </c>
      <c r="H7" s="9">
        <v>76000.0</v>
      </c>
      <c r="I7" s="10" t="s">
        <v>24</v>
      </c>
      <c r="J7" s="9">
        <v>94500.0</v>
      </c>
      <c r="K7" s="10" t="s">
        <v>25</v>
      </c>
      <c r="L7" s="9">
        <f t="shared" si="1"/>
        <v>103283.6</v>
      </c>
      <c r="M7" s="10" t="s">
        <v>24</v>
      </c>
      <c r="N7" s="9">
        <f t="shared" si="2"/>
        <v>79870.6</v>
      </c>
      <c r="O7" s="10" t="s">
        <v>24</v>
      </c>
      <c r="P7" s="9">
        <f t="shared" si="3"/>
        <v>88650.5</v>
      </c>
      <c r="Q7" s="10" t="s">
        <v>24</v>
      </c>
      <c r="R7" s="9">
        <f t="shared" si="4"/>
        <v>111211.6</v>
      </c>
      <c r="S7" s="10" t="s">
        <v>24</v>
      </c>
      <c r="T7" s="9">
        <f t="shared" si="5"/>
        <v>61459</v>
      </c>
      <c r="U7" s="10" t="s">
        <v>24</v>
      </c>
      <c r="V7" s="9">
        <v>100000.0</v>
      </c>
      <c r="W7" s="10" t="s">
        <v>25</v>
      </c>
      <c r="X7" s="11"/>
      <c r="Y7" s="11"/>
    </row>
    <row r="8">
      <c r="A8" s="4" t="s">
        <v>31</v>
      </c>
      <c r="B8" s="9">
        <v>71000.0</v>
      </c>
      <c r="C8" s="12" t="b">
        <v>1</v>
      </c>
      <c r="D8" s="9">
        <v>83000.0</v>
      </c>
      <c r="E8" s="10" t="s">
        <v>24</v>
      </c>
      <c r="F8" s="9">
        <v>100000.0</v>
      </c>
      <c r="G8" s="10" t="s">
        <v>24</v>
      </c>
      <c r="H8" s="9">
        <v>76000.0</v>
      </c>
      <c r="I8" s="10" t="s">
        <v>24</v>
      </c>
      <c r="J8" s="9">
        <v>94500.0</v>
      </c>
      <c r="K8" s="10" t="s">
        <v>25</v>
      </c>
      <c r="L8" s="9">
        <f t="shared" si="1"/>
        <v>103283.6</v>
      </c>
      <c r="M8" s="10" t="s">
        <v>24</v>
      </c>
      <c r="N8" s="9">
        <f t="shared" si="2"/>
        <v>79870.6</v>
      </c>
      <c r="O8" s="10" t="s">
        <v>24</v>
      </c>
      <c r="P8" s="9">
        <f t="shared" si="3"/>
        <v>88650.5</v>
      </c>
      <c r="Q8" s="10" t="s">
        <v>24</v>
      </c>
      <c r="R8" s="9">
        <f t="shared" si="4"/>
        <v>111211.6</v>
      </c>
      <c r="S8" s="10" t="s">
        <v>24</v>
      </c>
      <c r="T8" s="9">
        <f t="shared" si="5"/>
        <v>61459</v>
      </c>
      <c r="U8" s="10" t="s">
        <v>24</v>
      </c>
      <c r="V8" s="9">
        <v>100000.0</v>
      </c>
      <c r="W8" s="10" t="s">
        <v>25</v>
      </c>
      <c r="X8" s="11"/>
      <c r="Y8" s="11"/>
    </row>
    <row r="9">
      <c r="A9" s="14" t="s">
        <v>32</v>
      </c>
      <c r="B9" s="5"/>
      <c r="C9" s="5"/>
      <c r="D9" s="5"/>
      <c r="E9" s="5"/>
      <c r="F9" s="9">
        <v>50000.0</v>
      </c>
      <c r="G9" s="10" t="s">
        <v>24</v>
      </c>
      <c r="H9" s="9">
        <v>76000.0</v>
      </c>
      <c r="I9" s="10" t="s">
        <v>24</v>
      </c>
      <c r="J9" s="9">
        <v>94500.0</v>
      </c>
      <c r="K9" s="10" t="s">
        <v>24</v>
      </c>
      <c r="L9" s="9">
        <f t="shared" si="1"/>
        <v>103283.6</v>
      </c>
      <c r="M9" s="10" t="s">
        <v>24</v>
      </c>
      <c r="N9" s="9">
        <f t="shared" si="2"/>
        <v>79870.6</v>
      </c>
      <c r="O9" s="10" t="s">
        <v>24</v>
      </c>
      <c r="P9" s="9">
        <f t="shared" si="3"/>
        <v>88650.5</v>
      </c>
      <c r="Q9" s="10" t="s">
        <v>24</v>
      </c>
      <c r="R9" s="9">
        <f t="shared" si="4"/>
        <v>111211.6</v>
      </c>
      <c r="S9" s="10" t="s">
        <v>24</v>
      </c>
      <c r="T9" s="9">
        <f t="shared" si="5"/>
        <v>61459</v>
      </c>
      <c r="U9" s="10" t="s">
        <v>24</v>
      </c>
      <c r="V9" s="9">
        <v>100000.0</v>
      </c>
      <c r="W9" s="10" t="s">
        <v>25</v>
      </c>
      <c r="X9" s="11"/>
      <c r="Y9" s="11"/>
    </row>
    <row r="10">
      <c r="A10" s="15" t="s">
        <v>33</v>
      </c>
      <c r="B10" s="16">
        <v>708108.0</v>
      </c>
      <c r="C10" s="17"/>
      <c r="D10" s="16">
        <v>830172.0</v>
      </c>
      <c r="E10" s="16"/>
      <c r="F10" s="16"/>
      <c r="G10" s="16"/>
      <c r="H10" s="16">
        <v>830172.0</v>
      </c>
      <c r="I10" s="17"/>
      <c r="J10" s="16">
        <v>945037.0</v>
      </c>
      <c r="K10" s="17"/>
      <c r="L10" s="16">
        <v>1032836.0</v>
      </c>
      <c r="N10" s="16">
        <v>798706.0</v>
      </c>
      <c r="P10" s="16">
        <v>886505.0</v>
      </c>
      <c r="R10" s="16">
        <v>1112116.0</v>
      </c>
      <c r="T10" s="16">
        <v>614590.0</v>
      </c>
      <c r="V10" s="16">
        <v>1521842.0</v>
      </c>
    </row>
    <row r="11">
      <c r="V11" s="18">
        <f>V10/9</f>
        <v>169093.5556</v>
      </c>
    </row>
    <row r="12">
      <c r="A12" s="19"/>
      <c r="V12" s="20"/>
    </row>
  </sheetData>
  <conditionalFormatting sqref="K2:K4 M2:M9 O2:O9 Q2:Q9 S2:Y9 E3:E4 G3:G4 I3:I4 E6:E8 G6:G9 I6:I9 K6:K9">
    <cfRule type="containsText" dxfId="0" priority="1" operator="containsText" text="YES">
      <formula>NOT(ISERROR(SEARCH(("YES"),(K2))))</formula>
    </cfRule>
  </conditionalFormatting>
  <conditionalFormatting sqref="K2:K4 M2:M9 O2:O9 Q2:Q9 S2:Y9 E3:E4 G3:G4 I3:I4 E6:E8 G6:G9 I6:I9 K6:K9">
    <cfRule type="containsText" dxfId="1" priority="2" operator="containsText" text="NO">
      <formula>NOT(ISERROR(SEARCH(("NO"),(K2))))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3" width="16.13"/>
    <col customWidth="1" min="4" max="4" width="14.5"/>
    <col customWidth="1" min="5" max="5" width="14.13"/>
    <col customWidth="1" min="6" max="6" width="59.75"/>
    <col customWidth="1" min="7" max="7" width="8.88"/>
    <col customWidth="1" min="8" max="8" width="16.5"/>
  </cols>
  <sheetData>
    <row r="1">
      <c r="A1" s="21" t="s">
        <v>34</v>
      </c>
      <c r="B1" s="22"/>
      <c r="C1" s="21"/>
    </row>
    <row r="2">
      <c r="A2" s="23" t="s">
        <v>35</v>
      </c>
      <c r="B2" s="23">
        <v>984.0</v>
      </c>
      <c r="C2" s="22" t="s">
        <v>36</v>
      </c>
    </row>
    <row r="3">
      <c r="A3" s="23" t="s">
        <v>37</v>
      </c>
      <c r="B3" s="24">
        <v>3189907.0</v>
      </c>
      <c r="C3" s="22" t="s">
        <v>38</v>
      </c>
    </row>
    <row r="4">
      <c r="A4" s="23" t="s">
        <v>39</v>
      </c>
      <c r="B4" s="25">
        <f>B3/B2</f>
        <v>3241.775407</v>
      </c>
      <c r="C4" s="22" t="s">
        <v>38</v>
      </c>
    </row>
    <row r="5">
      <c r="A5" s="21"/>
      <c r="B5" s="22"/>
      <c r="C5" s="22"/>
      <c r="D5" s="22"/>
      <c r="E5" s="22"/>
      <c r="F5" s="22"/>
    </row>
    <row r="6">
      <c r="A6" s="21" t="s">
        <v>40</v>
      </c>
      <c r="B6" s="22"/>
      <c r="C6" s="22"/>
      <c r="D6" s="22"/>
      <c r="E6" s="22"/>
      <c r="F6" s="22"/>
    </row>
    <row r="7">
      <c r="A7" s="15" t="s">
        <v>41</v>
      </c>
      <c r="B7" s="15" t="s">
        <v>42</v>
      </c>
      <c r="C7" s="15" t="s">
        <v>43</v>
      </c>
      <c r="D7" s="15" t="s">
        <v>44</v>
      </c>
      <c r="E7" s="15" t="s">
        <v>45</v>
      </c>
      <c r="F7" s="15" t="s">
        <v>46</v>
      </c>
      <c r="G7" s="15" t="s">
        <v>6</v>
      </c>
      <c r="H7" s="26" t="s">
        <v>47</v>
      </c>
    </row>
    <row r="8">
      <c r="A8" s="14" t="s">
        <v>48</v>
      </c>
      <c r="B8" s="23">
        <v>20746.0</v>
      </c>
      <c r="C8" s="23">
        <v>20566.0</v>
      </c>
      <c r="D8" s="17">
        <f t="shared" ref="D8:D12" si="1">B8-C8</f>
        <v>180</v>
      </c>
      <c r="E8" s="27">
        <f t="shared" ref="E8:E13" si="2">D8*$B$4</f>
        <v>583519.5732</v>
      </c>
      <c r="F8" s="25">
        <f>E8+$E$13/10*3</f>
        <v>919043.3277</v>
      </c>
      <c r="G8" s="23" t="b">
        <v>1</v>
      </c>
      <c r="H8" s="25">
        <f>F8/3</f>
        <v>306347.7759</v>
      </c>
      <c r="I8" s="18"/>
    </row>
    <row r="9">
      <c r="A9" s="14" t="s">
        <v>49</v>
      </c>
      <c r="B9" s="23">
        <v>266.0</v>
      </c>
      <c r="C9" s="23">
        <v>198.0</v>
      </c>
      <c r="D9" s="17">
        <f t="shared" si="1"/>
        <v>68</v>
      </c>
      <c r="E9" s="27">
        <f t="shared" si="2"/>
        <v>220440.7276</v>
      </c>
      <c r="F9" s="25">
        <f>E9+$E$13/10*1</f>
        <v>332281.9792</v>
      </c>
      <c r="G9" s="23" t="b">
        <v>1</v>
      </c>
      <c r="H9" s="25"/>
      <c r="I9" s="18"/>
    </row>
    <row r="10">
      <c r="A10" s="14" t="s">
        <v>50</v>
      </c>
      <c r="B10" s="23">
        <v>682.0</v>
      </c>
      <c r="C10" s="23">
        <v>598.0</v>
      </c>
      <c r="D10" s="17">
        <f t="shared" si="1"/>
        <v>84</v>
      </c>
      <c r="E10" s="27">
        <f t="shared" si="2"/>
        <v>272309.1341</v>
      </c>
      <c r="F10" s="25">
        <f t="shared" ref="F10:F12" si="3">E10+$E$13/10*2</f>
        <v>495991.6372</v>
      </c>
      <c r="G10" s="23" t="b">
        <v>1</v>
      </c>
      <c r="H10" s="25">
        <f>F10/2</f>
        <v>247995.8186</v>
      </c>
      <c r="I10" s="18"/>
    </row>
    <row r="11">
      <c r="A11" s="14" t="s">
        <v>51</v>
      </c>
      <c r="B11" s="23">
        <v>351.0</v>
      </c>
      <c r="C11" s="23">
        <v>249.0</v>
      </c>
      <c r="D11" s="17">
        <f t="shared" si="1"/>
        <v>102</v>
      </c>
      <c r="E11" s="27">
        <f t="shared" si="2"/>
        <v>330661.0915</v>
      </c>
      <c r="F11" s="25">
        <f t="shared" si="3"/>
        <v>554343.5945</v>
      </c>
      <c r="G11" s="23" t="b">
        <v>1</v>
      </c>
      <c r="H11" s="25"/>
      <c r="I11" s="18"/>
    </row>
    <row r="12">
      <c r="A12" s="14" t="s">
        <v>52</v>
      </c>
      <c r="B12" s="23">
        <v>1090.0</v>
      </c>
      <c r="C12" s="23">
        <v>885.0</v>
      </c>
      <c r="D12" s="17">
        <f t="shared" si="1"/>
        <v>205</v>
      </c>
      <c r="E12" s="27">
        <f t="shared" si="2"/>
        <v>664563.9583</v>
      </c>
      <c r="F12" s="25">
        <f t="shared" si="3"/>
        <v>888246.4614</v>
      </c>
      <c r="G12" s="23" t="b">
        <v>1</v>
      </c>
      <c r="H12" s="25">
        <f>F12/2</f>
        <v>444123.2307</v>
      </c>
      <c r="I12" s="18"/>
    </row>
    <row r="13">
      <c r="A13" s="14" t="s">
        <v>53</v>
      </c>
      <c r="B13" s="23" t="s">
        <v>54</v>
      </c>
      <c r="C13" s="23" t="s">
        <v>54</v>
      </c>
      <c r="D13" s="17">
        <f>B2-SUM(D8:D12)</f>
        <v>345</v>
      </c>
      <c r="E13" s="27">
        <f t="shared" si="2"/>
        <v>1118412.515</v>
      </c>
      <c r="F13" s="17"/>
    </row>
    <row r="14">
      <c r="E14" s="20"/>
      <c r="F14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3" width="16.13"/>
    <col customWidth="1" min="4" max="4" width="14.5"/>
    <col customWidth="1" min="5" max="5" width="14.13"/>
    <col customWidth="1" min="6" max="6" width="46.25"/>
    <col customWidth="1" min="7" max="7" width="8.88"/>
    <col customWidth="1" min="8" max="8" width="16.5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1233.0</v>
      </c>
      <c r="C2" s="22" t="s">
        <v>36</v>
      </c>
      <c r="D2" s="28"/>
    </row>
    <row r="3">
      <c r="A3" s="23" t="s">
        <v>37</v>
      </c>
      <c r="B3" s="24">
        <v>4216565.0</v>
      </c>
      <c r="C3" s="22" t="s">
        <v>38</v>
      </c>
      <c r="D3" s="28"/>
    </row>
    <row r="4">
      <c r="A4" s="23" t="s">
        <v>39</v>
      </c>
      <c r="B4" s="25">
        <f>B3/B2</f>
        <v>3419.760746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55</v>
      </c>
      <c r="G7" s="30" t="s">
        <v>6</v>
      </c>
      <c r="H7" s="31" t="s">
        <v>47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48</v>
      </c>
      <c r="B8" s="23">
        <v>20968.0</v>
      </c>
      <c r="C8" s="23">
        <v>20746.0</v>
      </c>
      <c r="D8" s="32">
        <f t="shared" ref="D8:D12" si="1">B8-C8</f>
        <v>222</v>
      </c>
      <c r="E8" s="27">
        <f t="shared" ref="E8:E13" si="2">D8*$B$4</f>
        <v>759186.8856</v>
      </c>
      <c r="F8" s="25">
        <f>E8+$E$14*3</f>
        <v>1202615.862</v>
      </c>
      <c r="G8" s="23" t="b">
        <v>1</v>
      </c>
      <c r="H8" s="25">
        <f>F8/3</f>
        <v>400871.9541</v>
      </c>
      <c r="I8" s="18"/>
    </row>
    <row r="9">
      <c r="A9" s="14" t="s">
        <v>49</v>
      </c>
      <c r="B9" s="23">
        <v>431.0</v>
      </c>
      <c r="C9" s="23">
        <v>266.0</v>
      </c>
      <c r="D9" s="32">
        <f t="shared" si="1"/>
        <v>165</v>
      </c>
      <c r="E9" s="27">
        <f t="shared" si="2"/>
        <v>564260.5231</v>
      </c>
      <c r="F9" s="25">
        <f>E9+$E$14</f>
        <v>712070.182</v>
      </c>
      <c r="G9" s="23" t="b">
        <v>1</v>
      </c>
      <c r="H9" s="25"/>
      <c r="I9" s="18"/>
    </row>
    <row r="10">
      <c r="A10" s="14" t="s">
        <v>50</v>
      </c>
      <c r="B10" s="23">
        <v>763.0</v>
      </c>
      <c r="C10" s="23">
        <v>682.0</v>
      </c>
      <c r="D10" s="32">
        <f t="shared" si="1"/>
        <v>81</v>
      </c>
      <c r="E10" s="27">
        <f t="shared" si="2"/>
        <v>277000.6204</v>
      </c>
      <c r="F10" s="25">
        <f t="shared" ref="F10:F11" si="3">E10+$E$14*2</f>
        <v>572619.9383</v>
      </c>
      <c r="G10" s="23" t="b">
        <v>1</v>
      </c>
      <c r="H10" s="25">
        <f>F10/2</f>
        <v>286309.9691</v>
      </c>
      <c r="I10" s="18"/>
    </row>
    <row r="11">
      <c r="A11" s="14" t="s">
        <v>51</v>
      </c>
      <c r="B11" s="23">
        <v>467.0</v>
      </c>
      <c r="C11" s="23">
        <v>351.0</v>
      </c>
      <c r="D11" s="32">
        <f t="shared" si="1"/>
        <v>116</v>
      </c>
      <c r="E11" s="27">
        <f t="shared" si="2"/>
        <v>396692.2466</v>
      </c>
      <c r="F11" s="25">
        <f t="shared" si="3"/>
        <v>692311.5644</v>
      </c>
      <c r="G11" s="23" t="b">
        <v>1</v>
      </c>
      <c r="H11" s="25"/>
      <c r="I11" s="18"/>
    </row>
    <row r="12">
      <c r="A12" s="14" t="s">
        <v>52</v>
      </c>
      <c r="B12" s="23">
        <v>1350.0</v>
      </c>
      <c r="C12" s="23">
        <v>1090.0</v>
      </c>
      <c r="D12" s="32">
        <f t="shared" si="1"/>
        <v>260</v>
      </c>
      <c r="E12" s="27">
        <f t="shared" si="2"/>
        <v>889137.794</v>
      </c>
      <c r="F12" s="25">
        <f>E12+E14</f>
        <v>1036947.453</v>
      </c>
      <c r="G12" s="23" t="b">
        <v>1</v>
      </c>
      <c r="H12" s="25">
        <f>F12/2</f>
        <v>518473.7265</v>
      </c>
      <c r="I12" s="18"/>
    </row>
    <row r="13">
      <c r="A13" s="14" t="s">
        <v>53</v>
      </c>
      <c r="B13" s="23" t="s">
        <v>54</v>
      </c>
      <c r="C13" s="23" t="s">
        <v>54</v>
      </c>
      <c r="D13" s="32">
        <f>B2-SUM(D8:D12)</f>
        <v>389</v>
      </c>
      <c r="E13" s="27">
        <f t="shared" si="2"/>
        <v>1330286.93</v>
      </c>
      <c r="F13" s="17"/>
    </row>
    <row r="14">
      <c r="A14" s="33" t="s">
        <v>56</v>
      </c>
      <c r="B14" s="34"/>
      <c r="C14" s="34"/>
      <c r="D14" s="35"/>
      <c r="E14" s="27">
        <f>E13/9</f>
        <v>147809.6589</v>
      </c>
    </row>
    <row r="15">
      <c r="D15" s="28"/>
    </row>
    <row r="16"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  <row r="1001">
      <c r="D1001" s="28"/>
    </row>
    <row r="1002">
      <c r="D1002" s="28"/>
    </row>
  </sheetData>
  <mergeCells count="1">
    <mergeCell ref="A14:D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3" width="16.13"/>
    <col customWidth="1" min="4" max="4" width="14.5"/>
    <col customWidth="1" min="5" max="5" width="14.13"/>
    <col customWidth="1" min="6" max="6" width="46.25"/>
    <col customWidth="1" min="7" max="7" width="8.88"/>
    <col customWidth="1" min="8" max="8" width="16.5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1032.0</v>
      </c>
      <c r="C2" s="22" t="s">
        <v>36</v>
      </c>
      <c r="D2" s="28"/>
    </row>
    <row r="3">
      <c r="A3" s="23" t="s">
        <v>37</v>
      </c>
      <c r="B3" s="24">
        <v>3522118.0</v>
      </c>
      <c r="C3" s="22" t="s">
        <v>38</v>
      </c>
      <c r="D3" s="28"/>
    </row>
    <row r="4">
      <c r="A4" s="23" t="s">
        <v>39</v>
      </c>
      <c r="B4" s="25">
        <f>B3/B2</f>
        <v>3412.905039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57</v>
      </c>
      <c r="G7" s="30" t="s">
        <v>6</v>
      </c>
      <c r="H7" s="31" t="s">
        <v>47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48</v>
      </c>
      <c r="B8" s="23">
        <v>21124.0</v>
      </c>
      <c r="C8" s="23">
        <v>20968.0</v>
      </c>
      <c r="D8" s="32">
        <f t="shared" ref="D8:D12" si="1">B8-C8</f>
        <v>156</v>
      </c>
      <c r="E8" s="27">
        <f t="shared" ref="E8:E12" si="2">D8*$B$4</f>
        <v>532413.186</v>
      </c>
      <c r="F8" s="25">
        <f>E8+$E$15*3</f>
        <v>1061413.467</v>
      </c>
      <c r="G8" s="23" t="b">
        <v>1</v>
      </c>
      <c r="H8" s="25">
        <f>F8/3</f>
        <v>353804.489</v>
      </c>
      <c r="I8" s="36"/>
    </row>
    <row r="9">
      <c r="A9" s="14" t="s">
        <v>49</v>
      </c>
      <c r="B9" s="23">
        <v>491.0</v>
      </c>
      <c r="C9" s="23">
        <v>431.0</v>
      </c>
      <c r="D9" s="32">
        <f t="shared" si="1"/>
        <v>60</v>
      </c>
      <c r="E9" s="27">
        <f t="shared" si="2"/>
        <v>204774.3023</v>
      </c>
      <c r="F9" s="25">
        <f>E9+$E$15</f>
        <v>381107.7293</v>
      </c>
      <c r="G9" s="23" t="b">
        <v>1</v>
      </c>
      <c r="H9" s="25"/>
      <c r="I9" s="18"/>
    </row>
    <row r="10">
      <c r="A10" s="14" t="s">
        <v>50</v>
      </c>
      <c r="B10" s="23">
        <v>827.0</v>
      </c>
      <c r="C10" s="23">
        <v>763.0</v>
      </c>
      <c r="D10" s="32">
        <f t="shared" si="1"/>
        <v>64</v>
      </c>
      <c r="E10" s="27">
        <f t="shared" si="2"/>
        <v>218425.9225</v>
      </c>
      <c r="F10" s="25">
        <f t="shared" ref="F10:F11" si="3">E10+$E$15*2</f>
        <v>571092.7765</v>
      </c>
      <c r="G10" s="23" t="b">
        <v>1</v>
      </c>
      <c r="H10" s="25">
        <f t="shared" ref="H10:H12" si="4">F10/2</f>
        <v>285546.3882</v>
      </c>
      <c r="I10" s="18"/>
    </row>
    <row r="11">
      <c r="A11" s="14" t="s">
        <v>51</v>
      </c>
      <c r="B11" s="23">
        <v>550.0</v>
      </c>
      <c r="C11" s="23">
        <v>467.0</v>
      </c>
      <c r="D11" s="32">
        <f t="shared" si="1"/>
        <v>83</v>
      </c>
      <c r="E11" s="27">
        <f t="shared" si="2"/>
        <v>283271.1182</v>
      </c>
      <c r="F11" s="25">
        <f t="shared" si="3"/>
        <v>635937.9722</v>
      </c>
      <c r="G11" s="23" t="b">
        <v>1</v>
      </c>
      <c r="H11" s="25">
        <f t="shared" si="4"/>
        <v>317968.9861</v>
      </c>
      <c r="I11" s="18"/>
    </row>
    <row r="12">
      <c r="A12" s="14" t="s">
        <v>52</v>
      </c>
      <c r="B12" s="23">
        <v>1554.0</v>
      </c>
      <c r="C12" s="23">
        <v>1350.0</v>
      </c>
      <c r="D12" s="32">
        <f t="shared" si="1"/>
        <v>204</v>
      </c>
      <c r="E12" s="27">
        <f t="shared" si="2"/>
        <v>696232.6279</v>
      </c>
      <c r="F12" s="25">
        <f>E12+E15</f>
        <v>872566.0549</v>
      </c>
      <c r="G12" s="23" t="b">
        <v>1</v>
      </c>
      <c r="H12" s="25">
        <f t="shared" si="4"/>
        <v>436283.0275</v>
      </c>
      <c r="I12" s="18"/>
    </row>
    <row r="13" hidden="1">
      <c r="A13" s="14" t="s">
        <v>32</v>
      </c>
      <c r="B13" s="23"/>
      <c r="C13" s="23"/>
      <c r="D13" s="32"/>
      <c r="E13" s="27"/>
      <c r="F13" s="17"/>
      <c r="G13" s="23" t="b">
        <v>0</v>
      </c>
      <c r="H13" s="25"/>
    </row>
    <row r="14">
      <c r="A14" s="14" t="s">
        <v>53</v>
      </c>
      <c r="B14" s="23" t="s">
        <v>54</v>
      </c>
      <c r="C14" s="23" t="s">
        <v>54</v>
      </c>
      <c r="D14" s="32">
        <f>B2-SUM(D8:D12)</f>
        <v>465</v>
      </c>
      <c r="E14" s="27">
        <f>D14*$B$4</f>
        <v>1587000.843</v>
      </c>
      <c r="F14" s="17"/>
    </row>
    <row r="15">
      <c r="A15" s="33" t="s">
        <v>56</v>
      </c>
      <c r="B15" s="34"/>
      <c r="C15" s="34"/>
      <c r="D15" s="35"/>
      <c r="E15" s="27">
        <f>E14/9</f>
        <v>176333.427</v>
      </c>
    </row>
    <row r="16"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  <row r="1001">
      <c r="D1001" s="28"/>
    </row>
    <row r="1002">
      <c r="D1002" s="28"/>
    </row>
    <row r="1003">
      <c r="D1003" s="28"/>
    </row>
  </sheetData>
  <mergeCells count="1">
    <mergeCell ref="A15:D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3" width="16.13"/>
    <col customWidth="1" min="4" max="4" width="14.5"/>
    <col customWidth="1" min="5" max="5" width="14.13"/>
    <col customWidth="1" min="6" max="6" width="46.25"/>
    <col customWidth="1" min="7" max="7" width="8.88"/>
    <col customWidth="1" min="8" max="8" width="16.5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1080.0</v>
      </c>
      <c r="C2" s="22" t="s">
        <v>36</v>
      </c>
      <c r="D2" s="28"/>
    </row>
    <row r="3">
      <c r="A3" s="23" t="s">
        <v>37</v>
      </c>
      <c r="B3" s="24">
        <v>3701484.0</v>
      </c>
      <c r="C3" s="22" t="s">
        <v>38</v>
      </c>
      <c r="D3" s="28"/>
    </row>
    <row r="4">
      <c r="A4" s="23" t="s">
        <v>39</v>
      </c>
      <c r="B4" s="25">
        <f>B3/B2</f>
        <v>3427.3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58</v>
      </c>
      <c r="G7" s="30" t="s">
        <v>6</v>
      </c>
      <c r="H7" s="31" t="s">
        <v>47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48</v>
      </c>
      <c r="B8" s="23">
        <v>21205.0</v>
      </c>
      <c r="C8" s="23">
        <v>21124.0</v>
      </c>
      <c r="D8" s="32">
        <f t="shared" ref="D8:D13" si="1">B8-C8</f>
        <v>81</v>
      </c>
      <c r="E8" s="27">
        <f t="shared" ref="E8:E14" si="2">D8*$B$4</f>
        <v>277611.3</v>
      </c>
      <c r="F8" s="25">
        <f>E8+$E$15*3</f>
        <v>630934.7727</v>
      </c>
      <c r="G8" s="23" t="b">
        <v>1</v>
      </c>
      <c r="H8" s="25">
        <f>ROUND(F8/3,0)</f>
        <v>210312</v>
      </c>
      <c r="I8" s="18"/>
    </row>
    <row r="9">
      <c r="A9" s="14" t="s">
        <v>49</v>
      </c>
      <c r="B9" s="23">
        <v>708.0</v>
      </c>
      <c r="C9" s="23">
        <v>491.0</v>
      </c>
      <c r="D9" s="32">
        <f t="shared" si="1"/>
        <v>217</v>
      </c>
      <c r="E9" s="27">
        <f t="shared" si="2"/>
        <v>743724.1</v>
      </c>
      <c r="F9" s="25">
        <f>E9+$E$15</f>
        <v>861498.5909</v>
      </c>
      <c r="G9" s="17" t="b">
        <v>0</v>
      </c>
      <c r="H9" s="25"/>
      <c r="I9" s="18"/>
    </row>
    <row r="10">
      <c r="A10" s="14" t="s">
        <v>50</v>
      </c>
      <c r="B10" s="23">
        <v>907.0</v>
      </c>
      <c r="C10" s="23">
        <v>827.0</v>
      </c>
      <c r="D10" s="32">
        <f t="shared" si="1"/>
        <v>80</v>
      </c>
      <c r="E10" s="27">
        <f t="shared" si="2"/>
        <v>274184</v>
      </c>
      <c r="F10" s="25">
        <f t="shared" ref="F10:F12" si="3">E10+$E$15*2</f>
        <v>509732.9818</v>
      </c>
      <c r="G10" s="23" t="b">
        <v>1</v>
      </c>
      <c r="H10" s="25">
        <f t="shared" ref="H10:H12" si="4">F10/2</f>
        <v>254866.4909</v>
      </c>
      <c r="I10" s="18"/>
    </row>
    <row r="11">
      <c r="A11" s="14" t="s">
        <v>51</v>
      </c>
      <c r="B11" s="23">
        <v>603.0</v>
      </c>
      <c r="C11" s="23">
        <v>550.0</v>
      </c>
      <c r="D11" s="32">
        <f t="shared" si="1"/>
        <v>53</v>
      </c>
      <c r="E11" s="27">
        <f t="shared" si="2"/>
        <v>181646.9</v>
      </c>
      <c r="F11" s="25">
        <f t="shared" si="3"/>
        <v>417195.8818</v>
      </c>
      <c r="G11" s="23" t="b">
        <v>0</v>
      </c>
      <c r="H11" s="25">
        <f t="shared" si="4"/>
        <v>208597.9409</v>
      </c>
      <c r="I11" s="18"/>
    </row>
    <row r="12">
      <c r="A12" s="14" t="s">
        <v>52</v>
      </c>
      <c r="B12" s="23">
        <v>1825.0</v>
      </c>
      <c r="C12" s="23">
        <v>1554.0</v>
      </c>
      <c r="D12" s="32">
        <f t="shared" si="1"/>
        <v>271</v>
      </c>
      <c r="E12" s="27">
        <f t="shared" si="2"/>
        <v>928798.3</v>
      </c>
      <c r="F12" s="25">
        <f t="shared" si="3"/>
        <v>1164347.282</v>
      </c>
      <c r="G12" s="23" t="b">
        <v>1</v>
      </c>
      <c r="H12" s="25">
        <f t="shared" si="4"/>
        <v>582173.6409</v>
      </c>
      <c r="I12" s="18"/>
    </row>
    <row r="13">
      <c r="A13" s="14" t="s">
        <v>32</v>
      </c>
      <c r="B13" s="23">
        <v>518.0</v>
      </c>
      <c r="C13" s="23">
        <v>400.0</v>
      </c>
      <c r="D13" s="32">
        <f t="shared" si="1"/>
        <v>118</v>
      </c>
      <c r="E13" s="27">
        <f t="shared" si="2"/>
        <v>404421.4</v>
      </c>
      <c r="F13" s="25">
        <f>E13+$E$15</f>
        <v>522195.8909</v>
      </c>
      <c r="G13" s="23" t="b">
        <v>1</v>
      </c>
      <c r="H13" s="25"/>
    </row>
    <row r="14">
      <c r="A14" s="14" t="s">
        <v>53</v>
      </c>
      <c r="B14" s="23" t="s">
        <v>54</v>
      </c>
      <c r="C14" s="23" t="s">
        <v>54</v>
      </c>
      <c r="D14" s="32">
        <f>B2-SUM(D8:D12)</f>
        <v>378</v>
      </c>
      <c r="E14" s="27">
        <f t="shared" si="2"/>
        <v>1295519.4</v>
      </c>
      <c r="F14" s="17"/>
    </row>
    <row r="15">
      <c r="A15" s="33" t="s">
        <v>59</v>
      </c>
      <c r="B15" s="34"/>
      <c r="C15" s="34"/>
      <c r="D15" s="35"/>
      <c r="E15" s="27">
        <f>E14/11</f>
        <v>117774.4909</v>
      </c>
    </row>
    <row r="16"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  <row r="1001">
      <c r="D1001" s="28"/>
    </row>
    <row r="1002">
      <c r="D1002" s="28"/>
    </row>
    <row r="1003">
      <c r="D1003" s="28"/>
    </row>
  </sheetData>
  <mergeCells count="1">
    <mergeCell ref="A15:D1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3" width="16.13"/>
    <col customWidth="1" min="4" max="4" width="9.38"/>
    <col customWidth="1" min="5" max="5" width="14.13"/>
    <col customWidth="1" min="6" max="6" width="36.25"/>
    <col customWidth="1" min="7" max="7" width="8.88"/>
    <col customWidth="1" min="8" max="8" width="16.5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1088.0</v>
      </c>
      <c r="C2" s="22" t="s">
        <v>36</v>
      </c>
      <c r="D2" s="28"/>
    </row>
    <row r="3">
      <c r="A3" s="23" t="s">
        <v>37</v>
      </c>
      <c r="B3" s="24">
        <v>3731378.0</v>
      </c>
      <c r="C3" s="22" t="s">
        <v>38</v>
      </c>
      <c r="D3" s="28"/>
    </row>
    <row r="4">
      <c r="A4" s="23" t="s">
        <v>39</v>
      </c>
      <c r="B4" s="25">
        <f>B3/B2</f>
        <v>3429.575368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60</v>
      </c>
      <c r="G7" s="30" t="s">
        <v>6</v>
      </c>
      <c r="H7" s="31" t="s">
        <v>47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48</v>
      </c>
      <c r="B8" s="23">
        <v>21379.0</v>
      </c>
      <c r="C8" s="23">
        <v>21205.0</v>
      </c>
      <c r="D8" s="32">
        <f t="shared" ref="D8:D13" si="1">B8-C8</f>
        <v>174</v>
      </c>
      <c r="E8" s="27">
        <f t="shared" ref="E8:E14" si="2">D8*$B$4</f>
        <v>596746.114</v>
      </c>
      <c r="F8" s="25">
        <f>E8+$E$15*3</f>
        <v>1079711.022</v>
      </c>
      <c r="G8" s="23" t="b">
        <v>1</v>
      </c>
      <c r="H8" s="25">
        <f>ROUND(F8/3,0)</f>
        <v>359904</v>
      </c>
      <c r="I8" s="18"/>
    </row>
    <row r="9">
      <c r="A9" s="14" t="s">
        <v>49</v>
      </c>
      <c r="B9" s="23">
        <v>868.0</v>
      </c>
      <c r="C9" s="23">
        <v>708.0</v>
      </c>
      <c r="D9" s="32">
        <f t="shared" si="1"/>
        <v>160</v>
      </c>
      <c r="E9" s="27">
        <f t="shared" si="2"/>
        <v>548732.0588</v>
      </c>
      <c r="F9" s="25">
        <f t="shared" ref="F9:F10" si="3">E9+$E$15</f>
        <v>709720.3614</v>
      </c>
      <c r="G9" s="23" t="b">
        <v>1</v>
      </c>
      <c r="H9" s="25"/>
      <c r="I9" s="18"/>
    </row>
    <row r="10">
      <c r="A10" s="14" t="s">
        <v>27</v>
      </c>
      <c r="B10" s="23">
        <v>947.0</v>
      </c>
      <c r="C10" s="23">
        <v>907.0</v>
      </c>
      <c r="D10" s="32">
        <f t="shared" si="1"/>
        <v>40</v>
      </c>
      <c r="E10" s="27">
        <f t="shared" si="2"/>
        <v>137183.0147</v>
      </c>
      <c r="F10" s="25">
        <f t="shared" si="3"/>
        <v>298171.3173</v>
      </c>
      <c r="G10" s="23" t="b">
        <v>0</v>
      </c>
      <c r="H10" s="25"/>
      <c r="I10" s="18"/>
    </row>
    <row r="11">
      <c r="A11" s="14" t="s">
        <v>51</v>
      </c>
      <c r="B11" s="23">
        <v>674.0</v>
      </c>
      <c r="C11" s="23">
        <v>603.0</v>
      </c>
      <c r="D11" s="32">
        <f t="shared" si="1"/>
        <v>71</v>
      </c>
      <c r="E11" s="27">
        <f t="shared" si="2"/>
        <v>243499.8511</v>
      </c>
      <c r="F11" s="25">
        <f>E11+$E$15*2</f>
        <v>565476.4562</v>
      </c>
      <c r="G11" s="23" t="b">
        <v>1</v>
      </c>
      <c r="H11" s="25">
        <f t="shared" ref="H11:H12" si="4">F11/2</f>
        <v>282738.2281</v>
      </c>
      <c r="I11" s="18"/>
    </row>
    <row r="12">
      <c r="A12" s="14" t="s">
        <v>52</v>
      </c>
      <c r="B12" s="23">
        <v>1992.0</v>
      </c>
      <c r="C12" s="23">
        <v>1825.0</v>
      </c>
      <c r="D12" s="32">
        <f t="shared" si="1"/>
        <v>167</v>
      </c>
      <c r="E12" s="27">
        <f t="shared" si="2"/>
        <v>572739.0864</v>
      </c>
      <c r="F12" s="25">
        <f>E12+$E$15</f>
        <v>733727.3889</v>
      </c>
      <c r="G12" s="23" t="b">
        <v>0</v>
      </c>
      <c r="H12" s="25">
        <f t="shared" si="4"/>
        <v>366863.6945</v>
      </c>
      <c r="I12" s="18"/>
    </row>
    <row r="13">
      <c r="A13" s="14" t="s">
        <v>32</v>
      </c>
      <c r="B13" s="23">
        <v>595.0</v>
      </c>
      <c r="C13" s="23">
        <v>518.0</v>
      </c>
      <c r="D13" s="32">
        <f t="shared" si="1"/>
        <v>77</v>
      </c>
      <c r="E13" s="27">
        <f t="shared" si="2"/>
        <v>264077.3033</v>
      </c>
      <c r="F13" s="25">
        <f>E13+$E$15/2</f>
        <v>344571.4546</v>
      </c>
      <c r="G13" s="23" t="b">
        <v>1</v>
      </c>
      <c r="H13" s="25"/>
    </row>
    <row r="14">
      <c r="A14" s="14" t="s">
        <v>53</v>
      </c>
      <c r="B14" s="23" t="s">
        <v>54</v>
      </c>
      <c r="C14" s="23" t="s">
        <v>54</v>
      </c>
      <c r="D14" s="32">
        <f>B2-SUM(D8:D13)</f>
        <v>399</v>
      </c>
      <c r="E14" s="27">
        <f t="shared" si="2"/>
        <v>1368400.572</v>
      </c>
      <c r="F14" s="17"/>
    </row>
    <row r="15">
      <c r="A15" s="33" t="s">
        <v>61</v>
      </c>
      <c r="B15" s="34"/>
      <c r="C15" s="34"/>
      <c r="D15" s="35"/>
      <c r="E15" s="27">
        <f>E14/8.5</f>
        <v>160988.3026</v>
      </c>
    </row>
    <row r="16">
      <c r="A16" s="37" t="s">
        <v>62</v>
      </c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</sheetData>
  <mergeCells count="1">
    <mergeCell ref="A15:D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38"/>
    <col customWidth="1" min="2" max="3" width="16.13"/>
    <col customWidth="1" min="4" max="4" width="9.38"/>
    <col customWidth="1" min="5" max="5" width="14.13"/>
    <col customWidth="1" min="6" max="6" width="36.25"/>
    <col customWidth="1" min="7" max="7" width="8.88"/>
    <col customWidth="1" min="8" max="8" width="16.5"/>
    <col customWidth="1" min="10" max="10" width="25.63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846.0</v>
      </c>
      <c r="C2" s="22" t="s">
        <v>36</v>
      </c>
      <c r="D2" s="28"/>
    </row>
    <row r="3">
      <c r="A3" s="23" t="s">
        <v>37</v>
      </c>
      <c r="B3" s="24">
        <v>2827073.0</v>
      </c>
      <c r="C3" s="22" t="s">
        <v>38</v>
      </c>
      <c r="D3" s="28"/>
    </row>
    <row r="4">
      <c r="A4" s="23" t="s">
        <v>39</v>
      </c>
      <c r="B4" s="25">
        <f>B3/B2</f>
        <v>3341.693853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63</v>
      </c>
      <c r="G7" s="30" t="s">
        <v>6</v>
      </c>
      <c r="H7" s="31" t="s">
        <v>47</v>
      </c>
      <c r="I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64</v>
      </c>
      <c r="B8" s="23">
        <v>21474.0</v>
      </c>
      <c r="C8" s="23">
        <v>21379.0</v>
      </c>
      <c r="D8" s="32">
        <f t="shared" ref="D8:D13" si="1">B8-C8</f>
        <v>95</v>
      </c>
      <c r="E8" s="27">
        <f t="shared" ref="E8:E14" si="2">D8*$B$4</f>
        <v>317460.9161</v>
      </c>
      <c r="F8" s="25">
        <f>E8+$E$15*2</f>
        <v>611529.9752</v>
      </c>
      <c r="G8" s="23" t="b">
        <v>0</v>
      </c>
      <c r="H8" s="25">
        <f>ROUND(F8/2,0)</f>
        <v>305765</v>
      </c>
      <c r="I8" s="36"/>
    </row>
    <row r="9">
      <c r="A9" s="14" t="s">
        <v>49</v>
      </c>
      <c r="B9" s="23">
        <v>952.0</v>
      </c>
      <c r="C9" s="23">
        <v>868.0</v>
      </c>
      <c r="D9" s="32">
        <f t="shared" si="1"/>
        <v>84</v>
      </c>
      <c r="E9" s="27">
        <f t="shared" si="2"/>
        <v>280702.2837</v>
      </c>
      <c r="F9" s="25">
        <f>E9+$E$15</f>
        <v>427736.8132</v>
      </c>
      <c r="G9" s="17" t="b">
        <v>0</v>
      </c>
      <c r="H9" s="25"/>
      <c r="I9" s="18"/>
    </row>
    <row r="10">
      <c r="A10" s="14" t="s">
        <v>65</v>
      </c>
      <c r="B10" s="23">
        <v>1000.0</v>
      </c>
      <c r="C10" s="23">
        <v>947.0</v>
      </c>
      <c r="D10" s="32">
        <f t="shared" si="1"/>
        <v>53</v>
      </c>
      <c r="E10" s="27">
        <f t="shared" si="2"/>
        <v>177109.7742</v>
      </c>
      <c r="F10" s="25">
        <f t="shared" ref="F10:F11" si="3">E10+$E$15*2</f>
        <v>471178.8333</v>
      </c>
      <c r="G10" s="23" t="b">
        <v>1</v>
      </c>
      <c r="H10" s="25"/>
      <c r="I10" s="18"/>
    </row>
    <row r="11">
      <c r="A11" s="14" t="s">
        <v>51</v>
      </c>
      <c r="B11" s="23">
        <v>705.0</v>
      </c>
      <c r="C11" s="23">
        <v>674.0</v>
      </c>
      <c r="D11" s="32">
        <f t="shared" si="1"/>
        <v>31</v>
      </c>
      <c r="E11" s="27">
        <f t="shared" si="2"/>
        <v>103592.5095</v>
      </c>
      <c r="F11" s="25">
        <f t="shared" si="3"/>
        <v>397661.5686</v>
      </c>
      <c r="G11" s="23" t="b">
        <v>1</v>
      </c>
      <c r="H11" s="25"/>
      <c r="N11" s="18"/>
      <c r="O11" s="38"/>
    </row>
    <row r="12">
      <c r="A12" s="14" t="s">
        <v>52</v>
      </c>
      <c r="B12" s="23">
        <v>2130.0</v>
      </c>
      <c r="C12" s="23">
        <v>1992.0</v>
      </c>
      <c r="D12" s="32">
        <f t="shared" si="1"/>
        <v>138</v>
      </c>
      <c r="E12" s="27">
        <f t="shared" si="2"/>
        <v>461153.7518</v>
      </c>
      <c r="F12" s="25">
        <f>E12+$E$15</f>
        <v>608188.2813</v>
      </c>
      <c r="G12" s="23" t="b">
        <v>0</v>
      </c>
      <c r="H12" s="25">
        <f>F12/2</f>
        <v>304094.1407</v>
      </c>
    </row>
    <row r="13">
      <c r="A13" s="14" t="s">
        <v>32</v>
      </c>
      <c r="B13" s="23">
        <v>666.0</v>
      </c>
      <c r="C13" s="23">
        <v>595.0</v>
      </c>
      <c r="D13" s="32">
        <f t="shared" si="1"/>
        <v>71</v>
      </c>
      <c r="E13" s="27">
        <f t="shared" si="2"/>
        <v>237260.2636</v>
      </c>
      <c r="F13" s="25">
        <f>E13+$E$15/2</f>
        <v>310777.5284</v>
      </c>
      <c r="G13" s="23" t="b">
        <v>1</v>
      </c>
      <c r="H13" s="25"/>
    </row>
    <row r="14">
      <c r="A14" s="14" t="s">
        <v>53</v>
      </c>
      <c r="B14" s="23" t="s">
        <v>54</v>
      </c>
      <c r="C14" s="23" t="s">
        <v>54</v>
      </c>
      <c r="D14" s="32">
        <f>B2-SUM(D8:D13)</f>
        <v>374</v>
      </c>
      <c r="E14" s="27">
        <f t="shared" si="2"/>
        <v>1249793.501</v>
      </c>
      <c r="F14" s="17"/>
    </row>
    <row r="15">
      <c r="A15" s="33" t="s">
        <v>61</v>
      </c>
      <c r="B15" s="34"/>
      <c r="C15" s="34"/>
      <c r="D15" s="35"/>
      <c r="E15" s="27">
        <f>E14/8.5</f>
        <v>147034.5296</v>
      </c>
    </row>
    <row r="16">
      <c r="A16" s="37" t="s">
        <v>66</v>
      </c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A22" s="39" t="s">
        <v>67</v>
      </c>
      <c r="B22" s="40">
        <f>(693-674)*3342</f>
        <v>63498</v>
      </c>
      <c r="D22" s="28"/>
    </row>
    <row r="23">
      <c r="A23" s="39" t="s">
        <v>68</v>
      </c>
      <c r="B23" s="40">
        <f>(B11-693)*B4</f>
        <v>40100.32624</v>
      </c>
      <c r="D23" s="28"/>
    </row>
    <row r="24">
      <c r="A24" s="41" t="s">
        <v>69</v>
      </c>
      <c r="B24" s="40">
        <f>E15*2/4</f>
        <v>73517.26478</v>
      </c>
      <c r="D24" s="28"/>
    </row>
    <row r="25">
      <c r="A25" s="42" t="s">
        <v>70</v>
      </c>
      <c r="B25" s="43">
        <f>B22/2+B23/2+B24*2</f>
        <v>198833.6927</v>
      </c>
      <c r="D25" s="28"/>
    </row>
    <row r="26">
      <c r="A26" s="42" t="s">
        <v>71</v>
      </c>
      <c r="B26" s="43">
        <f>B22/2+B24</f>
        <v>105266.2648</v>
      </c>
      <c r="D26" s="28"/>
    </row>
    <row r="27">
      <c r="A27" s="42" t="s">
        <v>72</v>
      </c>
      <c r="B27" s="43">
        <f>B23/2+B24</f>
        <v>93567.4279</v>
      </c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</sheetData>
  <mergeCells count="1">
    <mergeCell ref="A15:D1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38"/>
    <col customWidth="1" min="2" max="2" width="11.38"/>
    <col customWidth="1" min="3" max="3" width="11.63"/>
    <col customWidth="1" min="4" max="4" width="9.38"/>
    <col customWidth="1" min="5" max="5" width="14.13"/>
    <col customWidth="1" min="6" max="6" width="16.5"/>
    <col customWidth="1" min="7" max="7" width="8.88"/>
    <col customWidth="1" min="8" max="8" width="9.63"/>
    <col customWidth="1" min="9" max="9" width="15.38"/>
    <col customWidth="1" min="10" max="10" width="7.0"/>
    <col customWidth="1" min="11" max="11" width="11.25"/>
    <col customWidth="1" min="12" max="12" width="7.0"/>
    <col customWidth="1" min="13" max="13" width="10.0"/>
    <col customWidth="1" min="14" max="14" width="7.0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891.0</v>
      </c>
      <c r="C2" s="22" t="s">
        <v>36</v>
      </c>
      <c r="D2" s="28"/>
    </row>
    <row r="3">
      <c r="A3" s="23" t="s">
        <v>37</v>
      </c>
      <c r="B3" s="24">
        <v>2996000.0</v>
      </c>
      <c r="C3" s="22" t="s">
        <v>38</v>
      </c>
      <c r="D3" s="28"/>
    </row>
    <row r="4">
      <c r="A4" s="23" t="s">
        <v>39</v>
      </c>
      <c r="B4" s="25">
        <f>B3/B2</f>
        <v>3362.514029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73</v>
      </c>
      <c r="G7" s="30" t="s">
        <v>6</v>
      </c>
      <c r="H7" s="31" t="s">
        <v>47</v>
      </c>
      <c r="I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64</v>
      </c>
      <c r="B8" s="23">
        <v>21531.0</v>
      </c>
      <c r="C8" s="23">
        <v>21474.0</v>
      </c>
      <c r="D8" s="32">
        <f t="shared" ref="D8:D13" si="1">B8-C8</f>
        <v>57</v>
      </c>
      <c r="E8" s="27">
        <f t="shared" ref="E8:E14" si="2">D8*$B$4</f>
        <v>191663.2997</v>
      </c>
      <c r="F8" s="25">
        <f>E8+$E$15*2</f>
        <v>492608.3053</v>
      </c>
      <c r="G8" s="23" t="b">
        <v>0</v>
      </c>
      <c r="H8" s="25">
        <f>ROUND(F8/2,0)</f>
        <v>246304</v>
      </c>
      <c r="I8" s="18"/>
    </row>
    <row r="9">
      <c r="A9" s="14" t="s">
        <v>49</v>
      </c>
      <c r="B9" s="23">
        <v>1046.0</v>
      </c>
      <c r="C9" s="23">
        <v>952.0</v>
      </c>
      <c r="D9" s="32">
        <f t="shared" si="1"/>
        <v>94</v>
      </c>
      <c r="E9" s="27">
        <f t="shared" si="2"/>
        <v>316076.3187</v>
      </c>
      <c r="F9" s="25">
        <f>E9+$E$15</f>
        <v>466548.8215</v>
      </c>
      <c r="G9" s="17" t="b">
        <v>0</v>
      </c>
      <c r="H9" s="25"/>
    </row>
    <row r="10">
      <c r="A10" s="14" t="s">
        <v>65</v>
      </c>
      <c r="B10" s="23">
        <v>1062.0</v>
      </c>
      <c r="C10" s="23">
        <v>1000.0</v>
      </c>
      <c r="D10" s="32">
        <f t="shared" si="1"/>
        <v>62</v>
      </c>
      <c r="E10" s="27">
        <f t="shared" si="2"/>
        <v>208475.8698</v>
      </c>
      <c r="F10" s="25">
        <f t="shared" ref="F10:F11" si="3">E10+$E$15*1.75</f>
        <v>471802.7497</v>
      </c>
      <c r="G10" s="23" t="b">
        <v>0</v>
      </c>
      <c r="H10" s="25"/>
      <c r="I10" s="44" t="s">
        <v>74</v>
      </c>
      <c r="J10" s="45">
        <f t="shared" ref="J10:J11" si="4">(F10/1.75)</f>
        <v>269601.5713</v>
      </c>
      <c r="K10" s="46" t="s">
        <v>75</v>
      </c>
      <c r="L10" s="47">
        <f t="shared" ref="L10:L11" si="5">J10*0.75</f>
        <v>202201.1785</v>
      </c>
      <c r="M10" s="48" t="s">
        <v>76</v>
      </c>
      <c r="N10" s="49">
        <f t="shared" ref="N10:N11" si="6">J10*1</f>
        <v>269601.5713</v>
      </c>
    </row>
    <row r="11">
      <c r="A11" s="14" t="s">
        <v>77</v>
      </c>
      <c r="B11" s="23">
        <v>742.0</v>
      </c>
      <c r="C11" s="23">
        <v>705.0</v>
      </c>
      <c r="D11" s="32">
        <f t="shared" si="1"/>
        <v>37</v>
      </c>
      <c r="E11" s="27">
        <f t="shared" si="2"/>
        <v>124413.0191</v>
      </c>
      <c r="F11" s="25">
        <f t="shared" si="3"/>
        <v>387739.899</v>
      </c>
      <c r="G11" s="23" t="b">
        <v>0</v>
      </c>
      <c r="H11" s="25"/>
      <c r="I11" s="44" t="s">
        <v>74</v>
      </c>
      <c r="J11" s="45">
        <f t="shared" si="4"/>
        <v>221565.6566</v>
      </c>
      <c r="K11" s="46" t="s">
        <v>78</v>
      </c>
      <c r="L11" s="47">
        <f t="shared" si="5"/>
        <v>166174.2424</v>
      </c>
      <c r="M11" s="48" t="s">
        <v>79</v>
      </c>
      <c r="N11" s="49">
        <f t="shared" si="6"/>
        <v>221565.6566</v>
      </c>
      <c r="O11" s="38"/>
    </row>
    <row r="12">
      <c r="A12" s="14" t="s">
        <v>52</v>
      </c>
      <c r="B12" s="23">
        <v>2322.0</v>
      </c>
      <c r="C12" s="23">
        <v>2130.0</v>
      </c>
      <c r="D12" s="32">
        <f t="shared" si="1"/>
        <v>192</v>
      </c>
      <c r="E12" s="27">
        <f t="shared" si="2"/>
        <v>645602.6936</v>
      </c>
      <c r="F12" s="25">
        <f>E12+$E$15</f>
        <v>796075.1964</v>
      </c>
      <c r="G12" s="23" t="b">
        <v>0</v>
      </c>
      <c r="H12" s="25">
        <f>F12/2</f>
        <v>398037.5982</v>
      </c>
    </row>
    <row r="13">
      <c r="A13" s="14" t="s">
        <v>32</v>
      </c>
      <c r="B13" s="23">
        <v>757.0</v>
      </c>
      <c r="C13" s="23">
        <v>666.0</v>
      </c>
      <c r="D13" s="32">
        <f t="shared" si="1"/>
        <v>91</v>
      </c>
      <c r="E13" s="27">
        <f t="shared" si="2"/>
        <v>305988.7767</v>
      </c>
      <c r="F13" s="25">
        <f>E13+$E$15/2</f>
        <v>381225.0281</v>
      </c>
      <c r="G13" s="23" t="b">
        <v>0</v>
      </c>
      <c r="H13" s="25"/>
    </row>
    <row r="14">
      <c r="A14" s="50" t="s">
        <v>80</v>
      </c>
      <c r="B14" s="23" t="s">
        <v>54</v>
      </c>
      <c r="C14" s="23" t="s">
        <v>54</v>
      </c>
      <c r="D14" s="32">
        <f>B2-SUM(D8:D13)</f>
        <v>358</v>
      </c>
      <c r="E14" s="27">
        <f t="shared" si="2"/>
        <v>1203780.022</v>
      </c>
      <c r="F14" s="17"/>
    </row>
    <row r="15">
      <c r="A15" s="33" t="s">
        <v>81</v>
      </c>
      <c r="B15" s="34"/>
      <c r="C15" s="34"/>
      <c r="D15" s="35"/>
      <c r="E15" s="27">
        <f>E14/8</f>
        <v>150472.5028</v>
      </c>
    </row>
    <row r="16">
      <c r="A16" s="37" t="s">
        <v>82</v>
      </c>
      <c r="D16" s="28"/>
    </row>
    <row r="17">
      <c r="A17" s="51">
        <f>2+1+1.75+1.75+1+0.5</f>
        <v>8</v>
      </c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</sheetData>
  <mergeCells count="1">
    <mergeCell ref="A15:D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38"/>
    <col customWidth="1" min="2" max="2" width="11.38"/>
    <col customWidth="1" min="3" max="3" width="11.63"/>
    <col customWidth="1" min="4" max="4" width="9.38"/>
    <col customWidth="1" min="5" max="5" width="14.13"/>
    <col customWidth="1" min="6" max="6" width="16.5"/>
    <col customWidth="1" min="7" max="7" width="8.88"/>
    <col customWidth="1" min="8" max="8" width="9.63"/>
    <col customWidth="1" min="9" max="9" width="15.38"/>
    <col customWidth="1" min="10" max="10" width="7.0"/>
    <col customWidth="1" min="11" max="11" width="13.88"/>
    <col customWidth="1" min="12" max="12" width="7.0"/>
    <col customWidth="1" min="13" max="13" width="10.0"/>
    <col customWidth="1" min="14" max="14" width="7.0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824.0</v>
      </c>
      <c r="C2" s="22" t="s">
        <v>36</v>
      </c>
      <c r="D2" s="28"/>
    </row>
    <row r="3">
      <c r="A3" s="23" t="s">
        <v>37</v>
      </c>
      <c r="B3" s="24">
        <v>2744863.0</v>
      </c>
      <c r="C3" s="22" t="s">
        <v>38</v>
      </c>
      <c r="D3" s="28"/>
    </row>
    <row r="4">
      <c r="A4" s="23" t="s">
        <v>39</v>
      </c>
      <c r="B4" s="25">
        <f>B3/B2</f>
        <v>3331.144417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83</v>
      </c>
      <c r="G7" s="30" t="s">
        <v>6</v>
      </c>
      <c r="H7" s="31" t="s">
        <v>47</v>
      </c>
      <c r="I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64</v>
      </c>
      <c r="B8" s="23">
        <v>21569.0</v>
      </c>
      <c r="C8" s="23">
        <v>21531.0</v>
      </c>
      <c r="D8" s="32">
        <f t="shared" ref="D8:D13" si="1">B8-C8</f>
        <v>38</v>
      </c>
      <c r="E8" s="27">
        <f t="shared" ref="E8:E14" si="2">D8*$B$4</f>
        <v>126583.4879</v>
      </c>
      <c r="F8" s="25">
        <f>E8+$E$15*1.75</f>
        <v>431130.8426</v>
      </c>
      <c r="G8" s="23" t="b">
        <v>0</v>
      </c>
      <c r="H8" s="25">
        <f>ROUND(F8/2,0)</f>
        <v>215565</v>
      </c>
      <c r="I8" s="44" t="s">
        <v>74</v>
      </c>
      <c r="J8" s="45">
        <f>(F8/1.75)</f>
        <v>246360.4815</v>
      </c>
      <c r="K8" s="46" t="s">
        <v>84</v>
      </c>
      <c r="L8" s="47">
        <f>J8*0.75</f>
        <v>184770.3611</v>
      </c>
      <c r="M8" s="48" t="s">
        <v>85</v>
      </c>
      <c r="N8" s="49">
        <f>J8*1</f>
        <v>246360.4815</v>
      </c>
    </row>
    <row r="9">
      <c r="A9" s="14" t="s">
        <v>49</v>
      </c>
      <c r="B9" s="23">
        <v>1086.0</v>
      </c>
      <c r="C9" s="23">
        <v>1046.0</v>
      </c>
      <c r="D9" s="32">
        <f t="shared" si="1"/>
        <v>40</v>
      </c>
      <c r="E9" s="27">
        <f t="shared" si="2"/>
        <v>133245.7767</v>
      </c>
      <c r="F9" s="25">
        <f>E9+$E$15</f>
        <v>307272.8366</v>
      </c>
      <c r="G9" s="17" t="b">
        <v>0</v>
      </c>
      <c r="H9" s="25"/>
    </row>
    <row r="10">
      <c r="A10" s="14" t="s">
        <v>65</v>
      </c>
      <c r="B10" s="23">
        <v>1110.0</v>
      </c>
      <c r="C10" s="23">
        <v>1062.0</v>
      </c>
      <c r="D10" s="32">
        <f t="shared" si="1"/>
        <v>48</v>
      </c>
      <c r="E10" s="27">
        <f t="shared" si="2"/>
        <v>159894.932</v>
      </c>
      <c r="F10" s="25">
        <f>E10+$E$15*2</f>
        <v>507949.0518</v>
      </c>
      <c r="G10" s="23" t="b">
        <v>0</v>
      </c>
      <c r="H10" s="25">
        <f>F10/2</f>
        <v>253974.5259</v>
      </c>
      <c r="I10" s="18"/>
      <c r="J10" s="18"/>
      <c r="K10" s="18"/>
      <c r="L10" s="18"/>
      <c r="M10" s="18"/>
      <c r="N10" s="18"/>
      <c r="O10" s="18"/>
    </row>
    <row r="11">
      <c r="A11" s="14" t="s">
        <v>77</v>
      </c>
      <c r="B11" s="23">
        <v>757.0</v>
      </c>
      <c r="C11" s="23">
        <v>742.0</v>
      </c>
      <c r="D11" s="32">
        <f t="shared" si="1"/>
        <v>15</v>
      </c>
      <c r="E11" s="27">
        <f t="shared" si="2"/>
        <v>49967.16626</v>
      </c>
      <c r="F11" s="25">
        <f>E11+$E$15*1.75</f>
        <v>354514.521</v>
      </c>
      <c r="G11" s="23" t="b">
        <v>0</v>
      </c>
      <c r="H11" s="25"/>
      <c r="I11" s="44" t="s">
        <v>74</v>
      </c>
      <c r="J11" s="45">
        <f>(F11/1.75)</f>
        <v>202579.7263</v>
      </c>
      <c r="K11" s="46" t="s">
        <v>78</v>
      </c>
      <c r="L11" s="47">
        <f>J11*0.75</f>
        <v>151934.7947</v>
      </c>
      <c r="M11" s="48" t="s">
        <v>79</v>
      </c>
      <c r="N11" s="49">
        <f>J11*1</f>
        <v>202579.7263</v>
      </c>
      <c r="O11" s="38"/>
    </row>
    <row r="12">
      <c r="A12" s="14" t="s">
        <v>52</v>
      </c>
      <c r="B12" s="23">
        <v>2498.0</v>
      </c>
      <c r="C12" s="23">
        <v>2322.0</v>
      </c>
      <c r="D12" s="32">
        <f t="shared" si="1"/>
        <v>176</v>
      </c>
      <c r="E12" s="27">
        <f t="shared" si="2"/>
        <v>586281.4175</v>
      </c>
      <c r="F12" s="25">
        <f>E12+$E$15*1.25</f>
        <v>803815.2423</v>
      </c>
      <c r="G12" s="23" t="b">
        <v>0</v>
      </c>
      <c r="H12" s="25">
        <f>F12/2</f>
        <v>401907.6212</v>
      </c>
    </row>
    <row r="13">
      <c r="A13" s="14" t="s">
        <v>32</v>
      </c>
      <c r="B13" s="23">
        <v>833.0</v>
      </c>
      <c r="C13" s="23">
        <v>757.0</v>
      </c>
      <c r="D13" s="32">
        <f t="shared" si="1"/>
        <v>76</v>
      </c>
      <c r="E13" s="27">
        <f t="shared" si="2"/>
        <v>253166.9757</v>
      </c>
      <c r="F13" s="25">
        <f>E13+$E$15/2</f>
        <v>340180.5057</v>
      </c>
      <c r="G13" s="23" t="b">
        <v>0</v>
      </c>
      <c r="H13" s="25"/>
    </row>
    <row r="14">
      <c r="A14" s="50" t="s">
        <v>80</v>
      </c>
      <c r="B14" s="23" t="s">
        <v>54</v>
      </c>
      <c r="C14" s="23" t="s">
        <v>54</v>
      </c>
      <c r="D14" s="32">
        <f>B2-SUM(D8:D13)</f>
        <v>431</v>
      </c>
      <c r="E14" s="27">
        <f t="shared" si="2"/>
        <v>1435723.244</v>
      </c>
      <c r="F14" s="17"/>
    </row>
    <row r="15">
      <c r="A15" s="33" t="s">
        <v>86</v>
      </c>
      <c r="B15" s="34"/>
      <c r="C15" s="34"/>
      <c r="D15" s="35"/>
      <c r="E15" s="27">
        <f>E14/8.25</f>
        <v>174027.0599</v>
      </c>
    </row>
    <row r="16">
      <c r="A16" s="37" t="s">
        <v>87</v>
      </c>
      <c r="D16" s="28"/>
    </row>
    <row r="17">
      <c r="A17" s="51">
        <f>1.75+1+2+1.75+1.25+0.5</f>
        <v>8.25</v>
      </c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</sheetData>
  <mergeCells count="1">
    <mergeCell ref="A15:D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38"/>
    <col customWidth="1" min="2" max="2" width="11.38"/>
    <col customWidth="1" min="3" max="3" width="11.63"/>
    <col customWidth="1" min="4" max="4" width="9.38"/>
    <col customWidth="1" min="5" max="5" width="14.13"/>
    <col customWidth="1" min="6" max="6" width="16.5"/>
    <col customWidth="1" min="7" max="7" width="8.88"/>
    <col customWidth="1" min="8" max="8" width="9.63"/>
    <col customWidth="1" min="9" max="9" width="15.38"/>
    <col customWidth="1" min="10" max="10" width="7.0"/>
    <col customWidth="1" min="11" max="11" width="13.88"/>
    <col customWidth="1" min="12" max="12" width="7.0"/>
    <col customWidth="1" min="13" max="13" width="10.0"/>
    <col customWidth="1" min="14" max="14" width="7.0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728.0</v>
      </c>
      <c r="C2" s="22" t="s">
        <v>36</v>
      </c>
      <c r="D2" s="28"/>
    </row>
    <row r="3">
      <c r="A3" s="23" t="s">
        <v>37</v>
      </c>
      <c r="B3" s="24">
        <v>2387000.0</v>
      </c>
      <c r="C3" s="22" t="s">
        <v>38</v>
      </c>
      <c r="D3" s="28"/>
      <c r="E3" s="18"/>
    </row>
    <row r="4">
      <c r="A4" s="23" t="s">
        <v>39</v>
      </c>
      <c r="B4" s="25">
        <f>B3/B2</f>
        <v>3278.846154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88</v>
      </c>
      <c r="G7" s="30" t="s">
        <v>6</v>
      </c>
      <c r="H7" s="31" t="s">
        <v>47</v>
      </c>
      <c r="I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89</v>
      </c>
      <c r="B8" s="23">
        <v>21596.0</v>
      </c>
      <c r="C8" s="23">
        <v>21569.0</v>
      </c>
      <c r="D8" s="32">
        <f t="shared" ref="D8:D13" si="1">B8-C8</f>
        <v>27</v>
      </c>
      <c r="E8" s="27">
        <f t="shared" ref="E8:E14" si="2">D8*$B$4</f>
        <v>88528.84615</v>
      </c>
      <c r="F8" s="25">
        <f>E8+$E$15*3</f>
        <v>429528.8462</v>
      </c>
      <c r="G8" s="23" t="b">
        <v>0</v>
      </c>
      <c r="H8" s="25">
        <f>ROUND(F8/3,0)</f>
        <v>143176</v>
      </c>
    </row>
    <row r="9">
      <c r="A9" s="14" t="s">
        <v>49</v>
      </c>
      <c r="B9" s="23">
        <v>1134.0</v>
      </c>
      <c r="C9" s="23">
        <v>1086.0</v>
      </c>
      <c r="D9" s="32">
        <f t="shared" si="1"/>
        <v>48</v>
      </c>
      <c r="E9" s="27">
        <f t="shared" si="2"/>
        <v>157384.6154</v>
      </c>
      <c r="F9" s="25">
        <f>E9+$E$15</f>
        <v>271051.2821</v>
      </c>
      <c r="G9" s="17" t="b">
        <v>0</v>
      </c>
      <c r="H9" s="25"/>
    </row>
    <row r="10">
      <c r="A10" s="14" t="s">
        <v>65</v>
      </c>
      <c r="B10" s="23">
        <v>1135.0</v>
      </c>
      <c r="C10" s="23">
        <v>1110.0</v>
      </c>
      <c r="D10" s="32">
        <f t="shared" si="1"/>
        <v>25</v>
      </c>
      <c r="E10" s="27">
        <f t="shared" si="2"/>
        <v>81971.15385</v>
      </c>
      <c r="F10" s="25">
        <f>E10+$E$15*2</f>
        <v>309304.4872</v>
      </c>
      <c r="G10" s="23" t="b">
        <v>0</v>
      </c>
      <c r="H10" s="25">
        <f>F10/2</f>
        <v>154652.2436</v>
      </c>
      <c r="I10" s="18"/>
      <c r="J10" s="18"/>
      <c r="K10" s="18"/>
      <c r="L10" s="18"/>
      <c r="M10" s="18"/>
      <c r="N10" s="18"/>
      <c r="O10" s="18"/>
    </row>
    <row r="11">
      <c r="A11" s="14" t="s">
        <v>90</v>
      </c>
      <c r="B11" s="23">
        <v>798.0</v>
      </c>
      <c r="C11" s="23">
        <v>757.0</v>
      </c>
      <c r="D11" s="32">
        <f t="shared" si="1"/>
        <v>41</v>
      </c>
      <c r="E11" s="27">
        <f t="shared" si="2"/>
        <v>134432.6923</v>
      </c>
      <c r="F11" s="25">
        <f>E11+$E$15*0.5</f>
        <v>191266.0256</v>
      </c>
      <c r="G11" s="23" t="b">
        <v>0</v>
      </c>
      <c r="H11" s="25"/>
      <c r="O11" s="38"/>
    </row>
    <row r="12">
      <c r="A12" s="14" t="s">
        <v>52</v>
      </c>
      <c r="B12" s="23">
        <v>2711.0</v>
      </c>
      <c r="C12" s="23">
        <v>2498.0</v>
      </c>
      <c r="D12" s="32">
        <f t="shared" si="1"/>
        <v>213</v>
      </c>
      <c r="E12" s="27">
        <f t="shared" si="2"/>
        <v>698394.2308</v>
      </c>
      <c r="F12" s="25">
        <f>E12+$E$15*1.25</f>
        <v>840477.5641</v>
      </c>
      <c r="G12" s="23" t="b">
        <v>0</v>
      </c>
      <c r="H12" s="25">
        <f>F12/2</f>
        <v>420238.7821</v>
      </c>
    </row>
    <row r="13">
      <c r="A13" s="14" t="s">
        <v>32</v>
      </c>
      <c r="B13" s="23">
        <v>921.0</v>
      </c>
      <c r="C13" s="23">
        <v>833.0</v>
      </c>
      <c r="D13" s="32">
        <f t="shared" si="1"/>
        <v>88</v>
      </c>
      <c r="E13" s="27">
        <f t="shared" si="2"/>
        <v>288538.4615</v>
      </c>
      <c r="F13" s="25">
        <f>E13+$E$15/2</f>
        <v>345371.7949</v>
      </c>
      <c r="G13" s="23" t="b">
        <v>0</v>
      </c>
      <c r="H13" s="25"/>
    </row>
    <row r="14">
      <c r="A14" s="50" t="s">
        <v>80</v>
      </c>
      <c r="B14" s="23" t="s">
        <v>54</v>
      </c>
      <c r="C14" s="23" t="s">
        <v>54</v>
      </c>
      <c r="D14" s="32">
        <f>B2-SUM(D8:D13)</f>
        <v>286</v>
      </c>
      <c r="E14" s="27">
        <f t="shared" si="2"/>
        <v>937750</v>
      </c>
      <c r="F14" s="17"/>
    </row>
    <row r="15">
      <c r="A15" s="33" t="s">
        <v>81</v>
      </c>
      <c r="B15" s="34"/>
      <c r="C15" s="34"/>
      <c r="D15" s="35"/>
      <c r="E15" s="27">
        <f>E14/8.25</f>
        <v>113666.6667</v>
      </c>
      <c r="F15" s="18"/>
    </row>
    <row r="16">
      <c r="A16" s="37" t="s">
        <v>91</v>
      </c>
      <c r="D16" s="28"/>
    </row>
    <row r="17">
      <c r="A17" s="51">
        <f>3+1+2+0.5+1.25+0.5</f>
        <v>8.25</v>
      </c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</sheetData>
  <mergeCells count="1">
    <mergeCell ref="A15:D1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38"/>
    <col customWidth="1" min="2" max="2" width="11.38"/>
    <col customWidth="1" min="3" max="3" width="11.63"/>
    <col customWidth="1" min="4" max="4" width="9.38"/>
    <col customWidth="1" min="5" max="5" width="14.13"/>
    <col customWidth="1" min="6" max="6" width="16.5"/>
    <col customWidth="1" min="7" max="7" width="8.88"/>
    <col customWidth="1" min="8" max="8" width="9.63"/>
    <col customWidth="1" min="9" max="9" width="12.88"/>
    <col customWidth="1" min="10" max="10" width="5.25"/>
    <col customWidth="1" min="11" max="11" width="7.0"/>
    <col customWidth="1" min="12" max="12" width="5.88"/>
    <col customWidth="1" min="13" max="13" width="7.0"/>
    <col customWidth="1" min="14" max="14" width="2.13"/>
    <col customWidth="1" min="15" max="15" width="6.13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675.0</v>
      </c>
      <c r="C2" s="22" t="s">
        <v>36</v>
      </c>
      <c r="D2" s="28"/>
    </row>
    <row r="3">
      <c r="A3" s="23" t="s">
        <v>37</v>
      </c>
      <c r="B3" s="24">
        <v>2188080.0</v>
      </c>
      <c r="C3" s="22" t="s">
        <v>38</v>
      </c>
      <c r="D3" s="28"/>
      <c r="E3" s="18"/>
    </row>
    <row r="4">
      <c r="A4" s="23" t="s">
        <v>39</v>
      </c>
      <c r="B4" s="25">
        <f>B3/B2</f>
        <v>3241.6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92</v>
      </c>
      <c r="G7" s="30" t="s">
        <v>6</v>
      </c>
      <c r="H7" s="31" t="s">
        <v>47</v>
      </c>
      <c r="I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89</v>
      </c>
      <c r="B8" s="23">
        <v>21626.0</v>
      </c>
      <c r="C8" s="23">
        <v>21596.0</v>
      </c>
      <c r="D8" s="32">
        <f t="shared" ref="D8:D13" si="1">B8-C8</f>
        <v>30</v>
      </c>
      <c r="E8" s="27">
        <f t="shared" ref="E8:E14" si="2">D8*$B$4</f>
        <v>97248</v>
      </c>
      <c r="F8" s="25">
        <f>E8+$E$15*2.5</f>
        <v>409830.8571</v>
      </c>
      <c r="G8" s="23" t="b">
        <v>0</v>
      </c>
      <c r="H8" s="25"/>
      <c r="I8" s="52">
        <f>F8/2.5</f>
        <v>163932.3429</v>
      </c>
      <c r="J8" s="53" t="s">
        <v>23</v>
      </c>
      <c r="K8" s="54">
        <f>I8*1</f>
        <v>163932.3429</v>
      </c>
      <c r="L8" s="55" t="s">
        <v>26</v>
      </c>
      <c r="M8" s="56">
        <f>I8*1</f>
        <v>163932.3429</v>
      </c>
      <c r="N8" s="57" t="s">
        <v>93</v>
      </c>
      <c r="O8" s="58">
        <f>I8*0.5</f>
        <v>81966.17143</v>
      </c>
    </row>
    <row r="9">
      <c r="A9" s="14" t="s">
        <v>49</v>
      </c>
      <c r="B9" s="23">
        <v>1154.0</v>
      </c>
      <c r="C9" s="23">
        <v>1134.0</v>
      </c>
      <c r="D9" s="32">
        <f t="shared" si="1"/>
        <v>20</v>
      </c>
      <c r="E9" s="27">
        <f t="shared" si="2"/>
        <v>64832</v>
      </c>
      <c r="F9" s="25">
        <f>E9+$E$15</f>
        <v>189865.1429</v>
      </c>
      <c r="G9" s="23" t="b">
        <v>1</v>
      </c>
      <c r="H9" s="25"/>
    </row>
    <row r="10">
      <c r="A10" s="14" t="s">
        <v>65</v>
      </c>
      <c r="B10" s="23">
        <v>1175.0</v>
      </c>
      <c r="C10" s="23">
        <v>1135.0</v>
      </c>
      <c r="D10" s="32">
        <f t="shared" si="1"/>
        <v>40</v>
      </c>
      <c r="E10" s="27">
        <f t="shared" si="2"/>
        <v>129664</v>
      </c>
      <c r="F10" s="25">
        <f>E10+$E$15*1.5</f>
        <v>317213.7143</v>
      </c>
      <c r="G10" s="23" t="b">
        <v>1</v>
      </c>
      <c r="H10" s="25"/>
      <c r="I10" s="52">
        <f>F10/1.5</f>
        <v>211475.8095</v>
      </c>
      <c r="J10" s="53" t="s">
        <v>27</v>
      </c>
      <c r="K10" s="54">
        <f>I10*1</f>
        <v>211475.8095</v>
      </c>
      <c r="L10" s="57" t="s">
        <v>28</v>
      </c>
      <c r="M10" s="58">
        <f>I10*0.5</f>
        <v>105737.9048</v>
      </c>
      <c r="N10" s="18"/>
      <c r="O10" s="18"/>
    </row>
    <row r="11">
      <c r="A11" s="14" t="s">
        <v>90</v>
      </c>
      <c r="B11" s="23">
        <v>874.0</v>
      </c>
      <c r="C11" s="23">
        <v>798.0</v>
      </c>
      <c r="D11" s="32">
        <f t="shared" si="1"/>
        <v>76</v>
      </c>
      <c r="E11" s="27">
        <f t="shared" si="2"/>
        <v>246361.6</v>
      </c>
      <c r="F11" s="25">
        <f>E11+$E$15*0.5</f>
        <v>308878.1714</v>
      </c>
      <c r="G11" s="23" t="b">
        <v>1</v>
      </c>
      <c r="H11" s="25"/>
      <c r="O11" s="38"/>
    </row>
    <row r="12">
      <c r="A12" s="14" t="s">
        <v>52</v>
      </c>
      <c r="B12" s="23">
        <v>2887.0</v>
      </c>
      <c r="C12" s="23">
        <v>2711.0</v>
      </c>
      <c r="D12" s="32">
        <f t="shared" si="1"/>
        <v>176</v>
      </c>
      <c r="E12" s="27">
        <f t="shared" si="2"/>
        <v>570521.6</v>
      </c>
      <c r="F12" s="25">
        <f>E12+$E$15</f>
        <v>695554.7429</v>
      </c>
      <c r="G12" s="23" t="b">
        <v>1</v>
      </c>
      <c r="H12" s="25">
        <f>F12/2</f>
        <v>347777.3714</v>
      </c>
    </row>
    <row r="13">
      <c r="A13" s="14" t="s">
        <v>32</v>
      </c>
      <c r="B13" s="23">
        <v>984.0</v>
      </c>
      <c r="C13" s="23">
        <v>921.0</v>
      </c>
      <c r="D13" s="32">
        <f t="shared" si="1"/>
        <v>63</v>
      </c>
      <c r="E13" s="27">
        <f t="shared" si="2"/>
        <v>204220.8</v>
      </c>
      <c r="F13" s="25">
        <f>E13+$E$15/2</f>
        <v>266737.3714</v>
      </c>
      <c r="G13" s="23" t="b">
        <v>1</v>
      </c>
      <c r="H13" s="25"/>
    </row>
    <row r="14">
      <c r="A14" s="50" t="s">
        <v>80</v>
      </c>
      <c r="B14" s="23" t="s">
        <v>54</v>
      </c>
      <c r="C14" s="23" t="s">
        <v>54</v>
      </c>
      <c r="D14" s="32">
        <f>B2-SUM(D8:D13)</f>
        <v>270</v>
      </c>
      <c r="E14" s="27">
        <f t="shared" si="2"/>
        <v>875232</v>
      </c>
      <c r="F14" s="17"/>
    </row>
    <row r="15">
      <c r="A15" s="33" t="s">
        <v>81</v>
      </c>
      <c r="B15" s="34"/>
      <c r="C15" s="34"/>
      <c r="D15" s="35"/>
      <c r="E15" s="27">
        <f>E14/7</f>
        <v>125033.1429</v>
      </c>
      <c r="F15" s="18"/>
    </row>
    <row r="16">
      <c r="A16" s="37" t="s">
        <v>94</v>
      </c>
      <c r="D16" s="28"/>
    </row>
    <row r="17">
      <c r="A17" s="51">
        <f>2.5+1+1.5+0.5+1+0.5</f>
        <v>7</v>
      </c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</sheetData>
  <mergeCells count="1">
    <mergeCell ref="A15:D1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38"/>
    <col customWidth="1" min="2" max="2" width="11.38"/>
    <col customWidth="1" min="3" max="3" width="11.63"/>
    <col customWidth="1" min="4" max="4" width="9.38"/>
    <col customWidth="1" min="5" max="5" width="14.13"/>
    <col customWidth="1" min="6" max="6" width="16.5"/>
    <col customWidth="1" min="7" max="7" width="8.88"/>
    <col customWidth="1" min="8" max="8" width="9.63"/>
    <col customWidth="1" min="9" max="9" width="12.88"/>
    <col customWidth="1" min="10" max="10" width="5.25"/>
    <col customWidth="1" min="11" max="11" width="7.0"/>
    <col customWidth="1" min="12" max="12" width="5.88"/>
    <col customWidth="1" min="13" max="13" width="7.0"/>
    <col customWidth="1" min="14" max="14" width="2.13"/>
    <col customWidth="1" min="15" max="15" width="6.13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236.0</v>
      </c>
      <c r="C2" s="22" t="s">
        <v>36</v>
      </c>
      <c r="D2" s="28"/>
    </row>
    <row r="3">
      <c r="A3" s="23" t="s">
        <v>37</v>
      </c>
      <c r="B3" s="24">
        <v>591438.0</v>
      </c>
      <c r="C3" s="22" t="s">
        <v>38</v>
      </c>
      <c r="D3" s="28"/>
      <c r="E3" s="18"/>
    </row>
    <row r="4">
      <c r="A4" s="23" t="s">
        <v>39</v>
      </c>
      <c r="B4" s="25">
        <f>B3/B2</f>
        <v>2506.09322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95</v>
      </c>
      <c r="G7" s="30" t="s">
        <v>6</v>
      </c>
      <c r="H7" s="59" t="s">
        <v>47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64</v>
      </c>
      <c r="B8" s="23">
        <v>21636.0</v>
      </c>
      <c r="C8" s="23">
        <v>21626.0</v>
      </c>
      <c r="D8" s="32">
        <f t="shared" ref="D8:D13" si="1">B8-C8</f>
        <v>10</v>
      </c>
      <c r="E8" s="27">
        <f t="shared" ref="E8:E14" si="2">D8*$B$4</f>
        <v>25060.9322</v>
      </c>
      <c r="F8" s="25">
        <f>E8+$E$15*2</f>
        <v>95231.54237</v>
      </c>
      <c r="G8" s="23" t="b">
        <v>0</v>
      </c>
      <c r="H8" s="60">
        <f>E8/2</f>
        <v>12530.4661</v>
      </c>
    </row>
    <row r="9">
      <c r="A9" s="14" t="s">
        <v>49</v>
      </c>
      <c r="B9" s="23">
        <v>1159.0</v>
      </c>
      <c r="C9" s="23">
        <v>1154.0</v>
      </c>
      <c r="D9" s="32">
        <f t="shared" si="1"/>
        <v>5</v>
      </c>
      <c r="E9" s="27">
        <f t="shared" si="2"/>
        <v>12530.4661</v>
      </c>
      <c r="F9" s="25">
        <f>E9+$E$15</f>
        <v>47615.77119</v>
      </c>
      <c r="G9" s="23" t="b">
        <v>0</v>
      </c>
      <c r="H9" s="60"/>
    </row>
    <row r="10">
      <c r="A10" s="14" t="s">
        <v>65</v>
      </c>
      <c r="B10" s="23">
        <v>1184.0</v>
      </c>
      <c r="C10" s="23">
        <v>1175.0</v>
      </c>
      <c r="D10" s="32">
        <f t="shared" si="1"/>
        <v>9</v>
      </c>
      <c r="E10" s="27">
        <f t="shared" si="2"/>
        <v>22554.83898</v>
      </c>
      <c r="F10" s="25">
        <f>E10+$E$15*2</f>
        <v>92725.44915</v>
      </c>
      <c r="G10" s="23" t="b">
        <v>0</v>
      </c>
      <c r="H10" s="60">
        <f>E10/2</f>
        <v>11277.41949</v>
      </c>
    </row>
    <row r="11">
      <c r="A11" s="14" t="s">
        <v>96</v>
      </c>
      <c r="B11" s="23">
        <v>880.0</v>
      </c>
      <c r="C11" s="23">
        <v>874.0</v>
      </c>
      <c r="D11" s="32">
        <f t="shared" si="1"/>
        <v>6</v>
      </c>
      <c r="E11" s="27">
        <f t="shared" si="2"/>
        <v>15036.55932</v>
      </c>
      <c r="F11" s="25">
        <f>E11+$E$15*0.5</f>
        <v>32579.21186</v>
      </c>
      <c r="G11" s="23" t="b">
        <v>0</v>
      </c>
      <c r="H11" s="60">
        <v>15036.559322033898</v>
      </c>
    </row>
    <row r="12">
      <c r="A12" s="14" t="s">
        <v>52</v>
      </c>
      <c r="B12" s="23">
        <v>2947.0</v>
      </c>
      <c r="C12" s="23">
        <v>2887.0</v>
      </c>
      <c r="D12" s="32">
        <f t="shared" si="1"/>
        <v>60</v>
      </c>
      <c r="E12" s="27">
        <f t="shared" si="2"/>
        <v>150365.5932</v>
      </c>
      <c r="F12" s="25">
        <f>E12+$E$15</f>
        <v>185450.8983</v>
      </c>
      <c r="G12" s="23" t="b">
        <v>0</v>
      </c>
      <c r="H12" s="60">
        <f>E12/2</f>
        <v>75182.79661</v>
      </c>
    </row>
    <row r="13">
      <c r="A13" s="14" t="s">
        <v>32</v>
      </c>
      <c r="B13" s="23">
        <v>1032.0</v>
      </c>
      <c r="C13" s="23">
        <v>984.0</v>
      </c>
      <c r="D13" s="32">
        <f t="shared" si="1"/>
        <v>48</v>
      </c>
      <c r="E13" s="27">
        <f t="shared" si="2"/>
        <v>120292.4746</v>
      </c>
      <c r="F13" s="25">
        <f>E13+$E$15/2</f>
        <v>137835.1271</v>
      </c>
      <c r="G13" s="23" t="b">
        <v>0</v>
      </c>
      <c r="H13" s="60">
        <f>E13</f>
        <v>120292.4746</v>
      </c>
    </row>
    <row r="14">
      <c r="A14" s="50" t="s">
        <v>80</v>
      </c>
      <c r="B14" s="23" t="s">
        <v>54</v>
      </c>
      <c r="C14" s="23" t="s">
        <v>54</v>
      </c>
      <c r="D14" s="32">
        <f>B2-SUM(D8:D13)</f>
        <v>98</v>
      </c>
      <c r="E14" s="27">
        <f t="shared" si="2"/>
        <v>245597.1356</v>
      </c>
      <c r="F14" s="17"/>
    </row>
    <row r="15">
      <c r="A15" s="33" t="s">
        <v>97</v>
      </c>
      <c r="B15" s="34"/>
      <c r="C15" s="34"/>
      <c r="D15" s="35"/>
      <c r="E15" s="27">
        <f>E14/7</f>
        <v>35085.30508</v>
      </c>
      <c r="F15" s="18"/>
    </row>
    <row r="16">
      <c r="A16" s="37" t="s">
        <v>98</v>
      </c>
      <c r="D16" s="28"/>
    </row>
    <row r="17">
      <c r="A17" s="51">
        <f>2.5+1+1.5+0.5+1+0.5</f>
        <v>7</v>
      </c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</sheetData>
  <mergeCells count="1">
    <mergeCell ref="A15:D1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38"/>
    <col customWidth="1" min="2" max="2" width="11.38"/>
    <col customWidth="1" min="3" max="3" width="11.63"/>
    <col customWidth="1" min="4" max="4" width="9.38"/>
    <col customWidth="1" min="5" max="5" width="14.13"/>
    <col customWidth="1" min="6" max="6" width="16.5"/>
    <col customWidth="1" min="7" max="7" width="8.88"/>
    <col customWidth="1" min="8" max="8" width="9.63"/>
    <col customWidth="1" min="9" max="9" width="12.88"/>
    <col customWidth="1" min="10" max="10" width="5.25"/>
    <col customWidth="1" min="11" max="11" width="9.38"/>
    <col customWidth="1" min="12" max="12" width="5.88"/>
    <col customWidth="1" min="13" max="13" width="7.0"/>
    <col customWidth="1" min="14" max="14" width="2.13"/>
    <col customWidth="1" min="15" max="15" width="6.13"/>
  </cols>
  <sheetData>
    <row r="1">
      <c r="A1" s="21" t="s">
        <v>34</v>
      </c>
      <c r="B1" s="22"/>
      <c r="C1" s="21"/>
      <c r="D1" s="28"/>
    </row>
    <row r="2">
      <c r="A2" s="23" t="s">
        <v>35</v>
      </c>
      <c r="B2" s="23">
        <v>913.0</v>
      </c>
      <c r="C2" s="22" t="s">
        <v>36</v>
      </c>
      <c r="D2" s="28"/>
    </row>
    <row r="3">
      <c r="A3" s="23" t="s">
        <v>37</v>
      </c>
      <c r="B3" s="24">
        <v>3077438.0</v>
      </c>
      <c r="C3" s="22" t="s">
        <v>38</v>
      </c>
      <c r="D3" s="28"/>
      <c r="E3" s="18"/>
    </row>
    <row r="4">
      <c r="A4" s="23" t="s">
        <v>39</v>
      </c>
      <c r="B4" s="25">
        <f>B3/B2</f>
        <v>3370.687842</v>
      </c>
      <c r="C4" s="22" t="s">
        <v>38</v>
      </c>
      <c r="D4" s="28"/>
    </row>
    <row r="5">
      <c r="A5" s="21"/>
      <c r="B5" s="22"/>
      <c r="C5" s="22"/>
      <c r="D5" s="29"/>
      <c r="E5" s="22"/>
      <c r="F5" s="22"/>
    </row>
    <row r="6">
      <c r="A6" s="21" t="s">
        <v>40</v>
      </c>
      <c r="B6" s="22"/>
      <c r="C6" s="22"/>
      <c r="D6" s="29"/>
      <c r="E6" s="22"/>
      <c r="F6" s="22"/>
    </row>
    <row r="7">
      <c r="A7" s="30" t="s">
        <v>41</v>
      </c>
      <c r="B7" s="30" t="s">
        <v>42</v>
      </c>
      <c r="C7" s="30" t="s">
        <v>43</v>
      </c>
      <c r="D7" s="30" t="s">
        <v>44</v>
      </c>
      <c r="E7" s="30" t="s">
        <v>45</v>
      </c>
      <c r="F7" s="30" t="s">
        <v>99</v>
      </c>
      <c r="G7" s="30" t="s">
        <v>6</v>
      </c>
      <c r="H7" s="59" t="s">
        <v>47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4" t="s">
        <v>64</v>
      </c>
      <c r="B8" s="23">
        <v>21678.0</v>
      </c>
      <c r="C8" s="23">
        <v>21636.0</v>
      </c>
      <c r="D8" s="32">
        <f t="shared" ref="D8:D12" si="1">B8-C8</f>
        <v>42</v>
      </c>
      <c r="E8" s="27">
        <f t="shared" ref="E8:E13" si="2">D8*$B$4</f>
        <v>141568.8894</v>
      </c>
      <c r="F8" s="25">
        <f>E8+$E$14*2</f>
        <v>526524.6871</v>
      </c>
      <c r="G8" s="23" t="b">
        <v>0</v>
      </c>
      <c r="H8" s="60">
        <f t="shared" ref="H8:H11" si="3">F8/2</f>
        <v>263262.3435</v>
      </c>
    </row>
    <row r="9">
      <c r="A9" s="14" t="s">
        <v>65</v>
      </c>
      <c r="B9" s="23">
        <v>1245.0</v>
      </c>
      <c r="C9" s="23">
        <v>1184.0</v>
      </c>
      <c r="D9" s="32">
        <f t="shared" si="1"/>
        <v>61</v>
      </c>
      <c r="E9" s="27">
        <f t="shared" si="2"/>
        <v>205611.9584</v>
      </c>
      <c r="F9" s="25">
        <f>E9+$E$14*1.75</f>
        <v>542448.2814</v>
      </c>
      <c r="G9" s="23" t="b">
        <v>0</v>
      </c>
      <c r="H9" s="60">
        <f t="shared" si="3"/>
        <v>271224.1407</v>
      </c>
      <c r="I9" s="18">
        <f>F9/1.75</f>
        <v>309970.4465</v>
      </c>
      <c r="J9" s="61" t="s">
        <v>27</v>
      </c>
      <c r="K9" s="62">
        <f>I9</f>
        <v>309970.4465</v>
      </c>
      <c r="L9" s="63" t="s">
        <v>28</v>
      </c>
      <c r="M9" s="64">
        <f>I9*0.75</f>
        <v>232477.8349</v>
      </c>
    </row>
    <row r="10">
      <c r="A10" s="14" t="s">
        <v>100</v>
      </c>
      <c r="B10" s="23">
        <v>994.0</v>
      </c>
      <c r="C10" s="23">
        <v>880.0</v>
      </c>
      <c r="D10" s="32">
        <f t="shared" si="1"/>
        <v>114</v>
      </c>
      <c r="E10" s="27">
        <f t="shared" si="2"/>
        <v>384258.414</v>
      </c>
      <c r="F10" s="25">
        <f>E10+$E$14*2</f>
        <v>769214.2117</v>
      </c>
      <c r="G10" s="23" t="b">
        <v>0</v>
      </c>
      <c r="H10" s="60">
        <f t="shared" si="3"/>
        <v>384607.1059</v>
      </c>
    </row>
    <row r="11">
      <c r="A11" s="14" t="s">
        <v>52</v>
      </c>
      <c r="B11" s="23">
        <v>3142.0</v>
      </c>
      <c r="C11" s="23">
        <v>2947.0</v>
      </c>
      <c r="D11" s="32">
        <f t="shared" si="1"/>
        <v>195</v>
      </c>
      <c r="E11" s="27">
        <f t="shared" si="2"/>
        <v>657284.1292</v>
      </c>
      <c r="F11" s="25">
        <f>E11+$E$14*1</f>
        <v>849762.0281</v>
      </c>
      <c r="G11" s="23" t="b">
        <v>0</v>
      </c>
      <c r="H11" s="60">
        <f t="shared" si="3"/>
        <v>424881.014</v>
      </c>
    </row>
    <row r="12">
      <c r="A12" s="14" t="s">
        <v>32</v>
      </c>
      <c r="B12" s="23">
        <v>1119.0</v>
      </c>
      <c r="C12" s="23">
        <v>1032.0</v>
      </c>
      <c r="D12" s="32">
        <f t="shared" si="1"/>
        <v>87</v>
      </c>
      <c r="E12" s="27">
        <f t="shared" si="2"/>
        <v>293249.8423</v>
      </c>
      <c r="F12" s="25">
        <f>E12+$E$14/2</f>
        <v>389488.7917</v>
      </c>
      <c r="G12" s="23" t="b">
        <v>0</v>
      </c>
      <c r="H12" s="60">
        <f>F12</f>
        <v>389488.7917</v>
      </c>
    </row>
    <row r="13">
      <c r="A13" s="50" t="s">
        <v>80</v>
      </c>
      <c r="B13" s="23" t="s">
        <v>54</v>
      </c>
      <c r="C13" s="23" t="s">
        <v>54</v>
      </c>
      <c r="D13" s="32">
        <f>B2-SUM(D8:D12)</f>
        <v>414</v>
      </c>
      <c r="E13" s="27">
        <f t="shared" si="2"/>
        <v>1395464.767</v>
      </c>
      <c r="F13" s="17"/>
    </row>
    <row r="14">
      <c r="A14" s="33" t="s">
        <v>101</v>
      </c>
      <c r="B14" s="34"/>
      <c r="C14" s="34"/>
      <c r="D14" s="35"/>
      <c r="E14" s="27">
        <f>E13/7.25</f>
        <v>192477.8989</v>
      </c>
      <c r="F14" s="18"/>
    </row>
    <row r="15">
      <c r="A15" s="37" t="s">
        <v>102</v>
      </c>
      <c r="D15" s="28"/>
    </row>
    <row r="16">
      <c r="D16" s="28"/>
    </row>
    <row r="17">
      <c r="D17" s="28"/>
    </row>
    <row r="18">
      <c r="D18" s="28"/>
    </row>
    <row r="19">
      <c r="D19" s="28"/>
    </row>
    <row r="20">
      <c r="D20" s="28"/>
    </row>
    <row r="21">
      <c r="D21" s="28"/>
    </row>
    <row r="22">
      <c r="D22" s="28"/>
    </row>
    <row r="23">
      <c r="D23" s="28"/>
    </row>
    <row r="24">
      <c r="D24" s="28"/>
    </row>
    <row r="25">
      <c r="D25" s="28"/>
    </row>
    <row r="26">
      <c r="D26" s="28"/>
    </row>
    <row r="27">
      <c r="D27" s="28"/>
    </row>
    <row r="28">
      <c r="D28" s="28"/>
    </row>
    <row r="29">
      <c r="D29" s="28"/>
    </row>
    <row r="30">
      <c r="D30" s="28"/>
    </row>
    <row r="31">
      <c r="D31" s="28"/>
    </row>
    <row r="32">
      <c r="D32" s="28"/>
    </row>
    <row r="33">
      <c r="D33" s="28"/>
    </row>
    <row r="34">
      <c r="D34" s="28"/>
    </row>
    <row r="35">
      <c r="D35" s="28"/>
    </row>
    <row r="36">
      <c r="D36" s="28"/>
    </row>
    <row r="37">
      <c r="D37" s="28"/>
    </row>
    <row r="38">
      <c r="D38" s="28"/>
    </row>
    <row r="39">
      <c r="D39" s="28"/>
    </row>
    <row r="40">
      <c r="D40" s="28"/>
    </row>
    <row r="41">
      <c r="D41" s="28"/>
    </row>
    <row r="42">
      <c r="D42" s="28"/>
    </row>
    <row r="43">
      <c r="D43" s="28"/>
    </row>
    <row r="44">
      <c r="D44" s="28"/>
    </row>
    <row r="45">
      <c r="D45" s="28"/>
    </row>
    <row r="46">
      <c r="D46" s="28"/>
    </row>
    <row r="47">
      <c r="D47" s="28"/>
    </row>
    <row r="48">
      <c r="D48" s="28"/>
    </row>
    <row r="49">
      <c r="D49" s="28"/>
    </row>
    <row r="50">
      <c r="D50" s="28"/>
    </row>
    <row r="51">
      <c r="D51" s="28"/>
    </row>
    <row r="52">
      <c r="D52" s="28"/>
    </row>
    <row r="53">
      <c r="D53" s="28"/>
    </row>
    <row r="54">
      <c r="D54" s="28"/>
    </row>
    <row r="55">
      <c r="D55" s="28"/>
    </row>
    <row r="56">
      <c r="D56" s="28"/>
    </row>
    <row r="57">
      <c r="D57" s="28"/>
    </row>
    <row r="58">
      <c r="D58" s="28"/>
    </row>
    <row r="59">
      <c r="D59" s="28"/>
    </row>
    <row r="60">
      <c r="D60" s="28"/>
    </row>
    <row r="61">
      <c r="D61" s="28"/>
    </row>
    <row r="62">
      <c r="D62" s="28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</sheetData>
  <mergeCells count="1">
    <mergeCell ref="A14:D1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4" width="18.63"/>
    <col customWidth="1" min="5" max="5" width="15.38"/>
    <col customWidth="1" min="6" max="6" width="18.63"/>
    <col customWidth="1" min="7" max="7" width="15.38"/>
  </cols>
  <sheetData>
    <row r="1">
      <c r="A1" s="15" t="s">
        <v>41</v>
      </c>
      <c r="B1" s="15" t="s">
        <v>103</v>
      </c>
      <c r="C1" s="15" t="s">
        <v>104</v>
      </c>
      <c r="D1" s="15" t="s">
        <v>105</v>
      </c>
      <c r="E1" s="15" t="s">
        <v>106</v>
      </c>
      <c r="F1" s="15" t="s">
        <v>107</v>
      </c>
      <c r="G1" s="15" t="s">
        <v>108</v>
      </c>
    </row>
    <row r="2">
      <c r="A2" s="14" t="s">
        <v>48</v>
      </c>
      <c r="B2" s="65">
        <v>180.0</v>
      </c>
      <c r="C2" s="65">
        <v>222.0</v>
      </c>
      <c r="D2" s="65">
        <v>156.0</v>
      </c>
      <c r="E2" s="66">
        <v>919043.3277439023</v>
      </c>
      <c r="F2" s="66">
        <v>1202615.8623952419</v>
      </c>
      <c r="G2" s="66">
        <v>1061413.4670542637</v>
      </c>
    </row>
    <row r="3">
      <c r="A3" s="14" t="s">
        <v>49</v>
      </c>
      <c r="B3" s="65">
        <v>68.0</v>
      </c>
      <c r="C3" s="65">
        <v>165.0</v>
      </c>
      <c r="D3" s="65">
        <v>60.0</v>
      </c>
      <c r="E3" s="66">
        <v>332281.9791666666</v>
      </c>
      <c r="F3" s="66">
        <v>712070.1820311795</v>
      </c>
      <c r="G3" s="66">
        <v>381107.7293281654</v>
      </c>
    </row>
    <row r="4">
      <c r="A4" s="14" t="s">
        <v>50</v>
      </c>
      <c r="B4" s="65">
        <v>84.0</v>
      </c>
      <c r="C4" s="65">
        <v>81.0</v>
      </c>
      <c r="D4" s="65">
        <v>64.0</v>
      </c>
      <c r="E4" s="66">
        <v>495991.63719512196</v>
      </c>
      <c r="F4" s="66">
        <v>572619.938271605</v>
      </c>
      <c r="G4" s="66">
        <v>571092.7764857882</v>
      </c>
    </row>
    <row r="5">
      <c r="A5" s="14" t="s">
        <v>51</v>
      </c>
      <c r="B5" s="65">
        <v>102.0</v>
      </c>
      <c r="C5" s="65">
        <v>116.0</v>
      </c>
      <c r="D5" s="65">
        <v>83.0</v>
      </c>
      <c r="E5" s="66">
        <v>554343.5945121951</v>
      </c>
      <c r="F5" s="66">
        <v>692311.5643867712</v>
      </c>
      <c r="G5" s="66">
        <v>635937.9722222222</v>
      </c>
    </row>
    <row r="6">
      <c r="A6" s="14" t="s">
        <v>52</v>
      </c>
      <c r="B6" s="65">
        <v>205.0</v>
      </c>
      <c r="C6" s="65">
        <v>260.0</v>
      </c>
      <c r="D6" s="65">
        <v>204.0</v>
      </c>
      <c r="E6" s="66">
        <v>888246.4613821137</v>
      </c>
      <c r="F6" s="66">
        <v>1036947.4529152022</v>
      </c>
      <c r="G6" s="66">
        <v>872566.0549095607</v>
      </c>
    </row>
  </sheetData>
  <drawing r:id="rId1"/>
</worksheet>
</file>